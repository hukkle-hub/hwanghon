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df4d6d8aa248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44bbd0bbaeed43c7"/>
    <x:sheet xmlns:r="http://schemas.openxmlformats.org/officeDocument/2006/relationships" name="컷_태깅" sheetId="2" r:id="R2c34727133684132"/>
    <x:sheet xmlns:r="http://schemas.openxmlformats.org/officeDocument/2006/relationships" name="블록_원문" sheetId="3" r:id="R7f92392fdca4454b"/>
    <x:sheet xmlns:r="http://schemas.openxmlformats.org/officeDocument/2006/relationships" name="검수_큐" sheetId="4" r:id="R6253e98fbe284f6a"/>
    <x:sheet xmlns:r="http://schemas.openxmlformats.org/officeDocument/2006/relationships" name="코드북" sheetId="5" r:id="R9ac5139345554410"/>
    <x:sheet xmlns:r="http://schemas.openxmlformats.org/officeDocument/2006/relationships" name="캐논_패치" sheetId="6" r:id="R92e91336f53c449b"/>
    <x:sheet xmlns:r="http://schemas.openxmlformats.org/officeDocument/2006/relationships" name="CUT001-040_연재구현" sheetId="7" r:id="R36257df451ff4c2d"/>
    <x:sheet xmlns:r="http://schemas.openxmlformats.org/officeDocument/2006/relationships" name="CUT041-080_연재구현" sheetId="8" r:id="Rd167e6550ff94d9a"/>
    <x:sheet xmlns:r="http://schemas.openxmlformats.org/officeDocument/2006/relationships" name="CUT081-110_연재구현" sheetId="9" r:id="R07de8e20ca2f4b02"/>
    <x:sheet xmlns:r="http://schemas.openxmlformats.org/officeDocument/2006/relationships" name="CUT111-136_연재구현" sheetId="10" r:id="Rb08f1876c3a54fc3"/>
    <x:sheet xmlns:r="http://schemas.openxmlformats.org/officeDocument/2006/relationships" name="CUT137-165_연재구현" sheetId="11" r:id="R004fc2a3b22947b5"/>
    <x:sheet xmlns:r="http://schemas.openxmlformats.org/officeDocument/2006/relationships" name="CUT166-200_연재구현" sheetId="12" r:id="Rc1f88917c914432e"/>
    <x:sheet xmlns:r="http://schemas.openxmlformats.org/officeDocument/2006/relationships" name="CUT201-250_연재구현" sheetId="13" r:id="Rd55c9831933b4c2b"/>
    <x:sheet xmlns:r="http://schemas.openxmlformats.org/officeDocument/2006/relationships" name="CUT251-282_연재구현" sheetId="14" r:id="Rb4d9b88ac8f542f1"/>
    <x:sheet xmlns:r="http://schemas.openxmlformats.org/officeDocument/2006/relationships" name="EP01_최종검수" sheetId="15" r:id="Rf8f062bc0bf04d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%"/>
    <x:numFmt numFmtId="202" formatCode="0"/>
    <x:numFmt numFmtId="203" formatCode="0%"/>
  </x:numFmts>
  <x:fonts count="25">
    <x:font>
      <x:sz val="11"/>
      <x:name val="Carlito"/>
    </x:font>
    <x:font>
      <x:b/>
      <x:sz val="10"/>
      <x:color rgb="FFFFFFFF"/>
      <x:name val="Carlito"/>
    </x:font>
    <x:font>
      <x:sz val="9"/>
      <x:color rgb="FF202124"/>
      <x:name val="Carlito"/>
    </x:font>
    <x:font>
      <x:sz val="10"/>
      <x:name val="Carlito"/>
    </x:font>
    <x:font>
      <x:b/>
      <x:sz val="20"/>
      <x:color rgb="FFFFFFFF"/>
      <x:name val="Carlito"/>
    </x:font>
    <x:font>
      <x:i/>
      <x:sz val="10"/>
      <x:color rgb="FF1F1F1F"/>
      <x:name val="Carlito"/>
    </x:font>
    <x:font>
      <x:b/>
      <x:sz val="11"/>
      <x:color rgb="FFFFFFFF"/>
      <x:name val="Carlito"/>
    </x:font>
    <x:font>
      <x:b/>
      <x:sz val="18"/>
      <x:color rgb="FF1F4E78"/>
      <x:name val="Carlito"/>
    </x:font>
    <x:font>
      <x:b/>
      <x:sz val="12"/>
      <x:color rgb="FFFFFFFF"/>
      <x:name val="Carlito"/>
    </x:font>
    <x:font>
      <x:b/>
      <x:sz val="11"/>
      <x:color rgb="FF1F4E78"/>
      <x:name val="Carlito"/>
    </x:font>
    <x:font>
      <x:b/>
      <x:sz val="11"/>
      <x:color rgb="FF9C6500"/>
      <x:name val="Carlito"/>
    </x:font>
    <x:font>
      <x:sz val="9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1F2937"/>
      <x:name val="Carlito"/>
    </x:font>
    <x:font>
      <x:sz val="11"/>
      <x:color rgb="FF3F6212"/>
      <x:name val="Carlito"/>
    </x:font>
    <x:font>
      <x:b/>
      <x:sz val="11"/>
      <x:color rgb="FF111827"/>
      <x:name val="Carlito"/>
    </x:font>
    <x:font>
      <x:sz val="11"/>
      <x:color rgb="FF46610E"/>
      <x:name val="Carlito"/>
    </x:font>
    <x:font>
      <x:b/>
      <x:sz val="11"/>
      <x:name val="Carlito"/>
    </x:font>
    <x:font>
      <x:b/>
      <x:sz val="16"/>
      <x:color rgb="FFF7F2EA"/>
      <x:name val="Carlito"/>
    </x:font>
    <x:font>
      <x:i/>
      <x:sz val="10"/>
      <x:color rgb="FFE8B56B"/>
      <x:name val="Carlito"/>
    </x:font>
    <x:font>
      <x:b/>
      <x:sz val="9"/>
      <x:color rgb="FFFFFFFF"/>
      <x:name val="Carlito"/>
    </x:font>
    <x:font>
      <x:sz val="9"/>
      <x:color rgb="FF272727"/>
      <x:name val="Carlito"/>
    </x:font>
    <x:font>
      <x:b/>
      <x:sz val="9"/>
      <x:color rgb="FF2E6A39"/>
      <x:name val="Carlito"/>
    </x:font>
    <x:font>
      <x:b/>
      <x:sz val="10"/>
      <x:color rgb="FF5C3618"/>
      <x:name val="Carlito"/>
    </x:font>
  </x:fonts>
  <x:fills count="4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9C6500"/>
      </x:patternFill>
    </x:fill>
    <x:fill>
      <x:patternFill patternType="solid">
        <x:fgColor rgb="FF202A35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1F2937"/>
      </x:patternFill>
    </x:fill>
    <x:fill>
      <x:patternFill patternType="solid">
        <x:fgColor rgb="FFA66F00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E8F0"/>
      </x:patternFill>
    </x:fill>
    <x:fill>
      <x:patternFill patternType="solid">
        <x:fgColor rgb="FFF2F2F2"/>
      </x:patternFill>
    </x:fill>
    <x:fill>
      <x:patternFill patternType="solid">
        <x:fgColor rgb="FFEAF0F6"/>
      </x:patternFill>
    </x:fill>
    <x:fill>
      <x:patternFill patternType="solid">
        <x:fgColor rgb="FFF5EEF8"/>
      </x:patternFill>
    </x:fill>
    <x:fill>
      <x:patternFill patternType="solid">
        <x:fgColor rgb="FFFAFAFA"/>
      </x:patternFill>
    </x:fill>
    <x:fill>
      <x:patternFill patternType="solid">
        <x:fgColor rgb="FFFFF7E6"/>
      </x:patternFill>
    </x:fill>
    <x:fill>
      <x:patternFill patternType="solid">
        <x:fgColor rgb="FFEAF4EA"/>
      </x:patternFill>
    </x:fill>
    <x:fill>
      <x:patternFill patternType="solid">
        <x:fgColor rgb="FF1F2937"/>
      </x:patternFill>
    </x:fill>
    <x:fill>
      <x:patternFill patternType="solid">
        <x:fgColor rgb="FFD9EAF7"/>
      </x:patternFill>
    </x:fill>
    <x:fill>
      <x:patternFill patternType="solid">
        <x:fgColor rgb="FFFFF3E8"/>
      </x:patternFill>
    </x:fill>
    <x:fill>
      <x:patternFill patternType="solid">
        <x:fgColor rgb="FFEAF4FA"/>
      </x:patternFill>
    </x:fill>
    <x:fill>
      <x:patternFill patternType="solid">
        <x:fgColor rgb="FFF7F0E4"/>
      </x:patternFill>
    </x:fill>
    <x:fill>
      <x:patternFill patternType="solid">
        <x:fgColor rgb="FFF2ECF7"/>
      </x:patternFill>
    </x:fill>
    <x:fill>
      <x:patternFill patternType="solid">
        <x:fgColor rgb="FFE2F0D9"/>
      </x:patternFill>
    </x:fill>
    <x:fill>
      <x:patternFill patternType="solid">
        <x:fgColor rgb="FFE5E7EB"/>
      </x:patternFill>
    </x:fill>
    <x:fill>
      <x:patternFill patternType="solid">
        <x:fgColor rgb="FFF9EBDD"/>
      </x:patternFill>
    </x:fill>
    <x:fill>
      <x:patternFill patternType="solid">
        <x:fgColor rgb="FFE7F0F7"/>
      </x:patternFill>
    </x:fill>
    <x:fill>
      <x:patternFill patternType="solid">
        <x:fgColor rgb="FFEEF1F4"/>
      </x:patternFill>
    </x:fill>
    <x:fill>
      <x:patternFill patternType="solid">
        <x:fgColor rgb="FFF6EEDC"/>
      </x:patternFill>
    </x:fill>
    <x:fill>
      <x:patternFill patternType="solid">
        <x:fgColor rgb="FFEAF1E6"/>
      </x:patternFill>
    </x:fill>
    <x:fill>
      <x:patternFill patternType="solid">
        <x:fgColor rgb="FFE8F1D7"/>
      </x:patternFill>
    </x:fill>
    <x:fill>
      <x:patternFill patternType="solid">
        <x:fgColor rgb="FFD8E4EC"/>
      </x:patternFill>
    </x:fill>
    <x:fill>
      <x:patternFill patternType="solid">
        <x:fgColor rgb="FF1F2937"/>
      </x:patternFill>
    </x:fill>
    <x:fill>
      <x:patternFill patternType="solid">
        <x:fgColor rgb="FFD9EAF7"/>
      </x:patternFill>
    </x:fill>
    <x:fill>
      <x:patternFill patternType="solid">
        <x:fgColor rgb="FFE5E7EB"/>
      </x:patternFill>
    </x:fill>
    <x:fill>
      <x:patternFill patternType="solid">
        <x:fgColor rgb="FF171A1F"/>
      </x:patternFill>
    </x:fill>
    <x:fill>
      <x:patternFill patternType="solid">
        <x:fgColor rgb="FF292D34"/>
      </x:patternFill>
    </x:fill>
    <x:fill>
      <x:patternFill patternType="solid">
        <x:fgColor rgb="FF6B3A14"/>
      </x:patternFill>
    </x:fill>
    <x:fill>
      <x:patternFill patternType="solid">
        <x:fgColor rgb="FFE7F2E8"/>
      </x:patternFill>
    </x:fill>
    <x:fill>
      <x:patternFill patternType="solid">
        <x:fgColor rgb="FFFFF2D8"/>
      </x:patternFill>
    </x:fill>
    <x:fill>
      <x:patternFill patternType="solid">
        <x:fgColor rgb="FFF2E7D8"/>
      </x:patternFill>
    </x:fill>
  </x:fills>
  <x:borders count="20">
    <x:border/>
    <x:border/>
    <x:border/>
    <x:border/>
    <x:border/>
    <x:border/>
    <x:border>
      <x:left style="thin">
        <x:color rgb="FF8A5A2B"/>
      </x:left>
      <x:top style="thin">
        <x:color rgb="FF8A5A2B"/>
      </x:top>
      <x:bottom style="thin">
        <x:color rgb="FF8A5A2B"/>
      </x:bottom>
    </x:border>
    <x:border>
      <x:top style="thin">
        <x:color rgb="FF8A5A2B"/>
      </x:top>
      <x:bottom style="thin">
        <x:color rgb="FF8A5A2B"/>
      </x:bottom>
    </x:border>
    <x:border>
      <x:right style="thin">
        <x:color rgb="FF8A5A2B"/>
      </x:right>
      <x:top style="thin">
        <x:color rgb="FF8A5A2B"/>
      </x:top>
      <x:bottom style="thin">
        <x:color rgb="FF8A5A2B"/>
      </x:bottom>
    </x:border>
    <x:border>
      <x:left style="thin">
        <x:color rgb="FFE2DDD5"/>
      </x:left>
    </x:border>
    <x:border>
      <x:right style="thin">
        <x:color rgb="FFE2DDD5"/>
      </x:right>
    </x:border>
    <x:border>
      <x:left style="thin">
        <x:color rgb="FFE2DDD5"/>
      </x:left>
      <x:bottom style="thin">
        <x:color rgb="FFD7D2CA"/>
      </x:bottom>
    </x:border>
    <x:border>
      <x:bottom style="thin">
        <x:color rgb="FFD7D2CA"/>
      </x:bottom>
    </x:border>
    <x:border>
      <x:right style="thin">
        <x:color rgb="FFE2DDD5"/>
      </x:right>
      <x:bottom style="thin">
        <x:color rgb="FFD7D2CA"/>
      </x:bottom>
    </x:border>
    <x:border>
      <x:left style="thin">
        <x:color rgb="FFC89C65"/>
      </x:left>
      <x:top style="thin">
        <x:color rgb="FFC89C65"/>
      </x:top>
    </x:border>
    <x:border>
      <x:top style="thin">
        <x:color rgb="FFC89C65"/>
      </x:top>
    </x:border>
    <x:border>
      <x:right style="thin">
        <x:color rgb="FFC89C65"/>
      </x:right>
      <x:top style="thin">
        <x:color rgb="FFC89C65"/>
      </x:top>
    </x:border>
    <x:border>
      <x:left style="thin">
        <x:color rgb="FFC89C65"/>
      </x:left>
      <x:bottom style="thin">
        <x:color rgb="FFC89C65"/>
      </x:bottom>
    </x:border>
    <x:border>
      <x:bottom style="thin">
        <x:color rgb="FFC89C65"/>
      </x:bottom>
    </x:border>
    <x:border>
      <x:right style="thin">
        <x:color rgb="FFC89C65"/>
      </x:right>
      <x:bottom style="thin">
        <x:color rgb="FFC89C65"/>
      </x:bottom>
    </x:border>
  </x:borders>
  <x:cellStyleXfs count="1">
    <x:xf numFmtId="0" fontId="0" fillId="0" borderId="0"/>
  </x:cellStyleXfs>
  <x:cellXfs count="3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left" vertical="top" wrapText="1"/>
    </x:xf>
    <x:xf numFmtId="0" fontId="2" fillId="0" borderId="1" xfId="0" applyNumberFormat="1" applyFont="1" applyFill="1" applyBorder="1" applyAlignment="1">
      <x:alignment horizontal="left"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  <x:xf numFmtId="200" fontId="2" fillId="0" borderId="1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left" vertical="top" wrapText="1"/>
    </x:xf>
    <x:xf numFmtId="200" fontId="2" fillId="0" borderId="1" xfId="0" applyNumberFormat="1" applyFont="1" applyFill="1" applyBorder="1" applyAlignment="1">
      <x:alignment horizontal="left"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4" xfId="0" applyNumberFormat="1" applyFont="1" applyFill="1" applyBorder="1"/>
    <x:xf numFmtId="0" fontId="7" fillId="6" borderId="4" xfId="0" applyNumberFormat="1" applyFont="1" applyFill="1" applyBorder="1" applyAlignment="1">
      <x:alignment horizontal="center"/>
    </x:xf>
    <x:xf numFmtId="0" fontId="7" fillId="6" borderId="4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5" xfId="0" applyNumberFormat="1" applyFont="1" applyFill="1" applyBorder="1"/>
    <x:xf numFmtId="0" fontId="7" fillId="6" borderId="5" xfId="0" applyNumberFormat="1" applyFont="1" applyFill="1" applyBorder="1" applyAlignment="1">
      <x:alignment horizontal="center"/>
    </x:xf>
    <x:xf numFmtId="0" fontId="7" fillId="6" borderId="5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left"/>
    </x:xf>
    <x:xf numFmtId="0" fontId="8" fillId="2" borderId="0" xfId="0" applyNumberFormat="1" applyFont="1" applyFill="1" applyBorder="1" applyAlignment="1">
      <x:alignment horizontal="left" vertic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horizontal="left"/>
    </x:xf>
    <x:xf numFmtId="0" fontId="8" fillId="2" borderId="1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/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left"/>
    </x:xf>
    <x:xf numFmtId="0" fontId="8" fillId="3" borderId="0" xfId="0" applyNumberFormat="1" applyFont="1" applyFill="1" applyBorder="1" applyAlignment="1">
      <x:alignment horizontal="left" vertical="center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horizontal="left"/>
    </x:xf>
    <x:xf numFmtId="0" fontId="8" fillId="3" borderId="1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/>
    <x:xf numFmtId="0" fontId="10" fillId="8" borderId="1" xfId="0" applyNumberFormat="1" applyFont="1" applyFill="1" applyBorder="1"/>
    <x:xf numFmtId="0" fontId="10" fillId="8" borderId="1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 vertical="center"/>
    </x:xf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horizontal="center"/>
    </x:xf>
    <x:xf numFmtId="0" fontId="9" fillId="5" borderId="1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/>
    <x:xf numFmtId="0" fontId="11" fillId="0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horizontal="center" vertical="center" wrapText="1"/>
    </x:xf>
    <x:xf numFmtId="0" fontId="11" fillId="0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11" fillId="0" borderId="0" xfId="0" applyNumberFormat="1" applyFont="1" applyFill="1" applyBorder="1"/>
    <x:xf numFmtId="201" fontId="11" fillId="0" borderId="0" xfId="0" applyNumberFormat="1" applyFont="1" applyFill="1" applyBorder="1" applyAlignment="1">
      <x:alignment wrapText="1"/>
    </x:xf>
    <x:xf numFmtId="201" fontId="1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10" fillId="8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3" fillId="11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horizontal="center" vertical="center"/>
    </x:xf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horizontal="center"/>
    </x:xf>
    <x:xf numFmtId="0" fontId="12" fillId="9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3" fillId="11" borderId="0" xfId="0" applyNumberFormat="1" applyFont="1" applyFill="1" applyBorder="1"/>
    <x:xf numFmtId="0" fontId="13" fillId="11" borderId="0" xfId="0" applyNumberFormat="1" applyFont="1" applyFill="1" applyBorder="1" applyAlignment="1">
      <x:alignment wrapText="1"/>
    </x:xf>
    <x:xf numFmtId="0" fontId="13" fillId="11" borderId="0" xfId="0" applyNumberFormat="1" applyFont="1" applyFill="1" applyBorder="1" applyAlignment="1">
      <x:alignment horizontal="center" wrapText="1"/>
    </x:xf>
    <x:xf numFmtId="0" fontId="13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6" fillId="1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14" fillId="13" borderId="0" xfId="0" applyNumberFormat="1" applyFont="1" applyFill="1" applyBorder="1"/>
    <x:xf numFmtId="0" fontId="14" fillId="13" borderId="0" xfId="0" applyNumberFormat="1" applyFont="1" applyFill="1" applyBorder="1" applyAlignment="1">
      <x:alignment wrapText="1"/>
    </x:xf>
    <x:xf numFmtId="0" fontId="14" fillId="13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top" wrapText="1"/>
    </x:xf>
    <x:xf numFmtId="202" fontId="14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13" fillId="5" borderId="0" xfId="0" applyNumberFormat="1" applyFont="1" applyFill="1" applyBorder="1"/>
    <x:xf numFmtId="0" fontId="13" fillId="5" borderId="0" xfId="0" applyNumberFormat="1" applyFont="1" applyFill="1" applyBorder="1" applyAlignment="1">
      <x:alignment wrapText="1"/>
    </x:xf>
    <x:xf numFmtId="0" fontId="13" fillId="5" borderId="0" xfId="0" applyNumberFormat="1" applyFont="1" applyFill="1" applyBorder="1" applyAlignment="1">
      <x:alignment horizontal="center" wrapText="1"/>
    </x:xf>
    <x:xf numFmtId="0" fontId="13" fillId="5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6" fillId="20" borderId="0" xfId="0" applyNumberFormat="1" applyFont="1" applyFill="1" applyBorder="1"/>
    <x:xf numFmtId="0" fontId="6" fillId="20" borderId="0" xfId="0" applyNumberFormat="1" applyFont="1" applyFill="1" applyBorder="1" applyAlignment="1">
      <x:alignment horizontal="center"/>
    </x:xf>
    <x:xf numFmtId="0" fontId="6" fillId="20" borderId="0" xfId="0" applyNumberFormat="1" applyFont="1" applyFill="1" applyBorder="1" applyAlignment="1">
      <x:alignment horizontal="center" vertical="center"/>
    </x:xf>
    <x:xf numFmtId="0" fontId="0" fillId="21" borderId="0" xfId="0" applyNumberFormat="1" applyFont="1" applyFill="1" applyBorder="1"/>
    <x:xf numFmtId="0" fontId="13" fillId="21" borderId="0" xfId="0" applyNumberFormat="1" applyFont="1" applyFill="1" applyBorder="1"/>
    <x:xf numFmtId="0" fontId="13" fillId="21" borderId="0" xfId="0" applyNumberFormat="1" applyFont="1" applyFill="1" applyBorder="1" applyAlignment="1">
      <x:alignment wrapText="1"/>
    </x:xf>
    <x:xf numFmtId="0" fontId="13" fillId="21" borderId="0" xfId="0" applyNumberFormat="1" applyFont="1" applyFill="1" applyBorder="1" applyAlignment="1">
      <x:alignment horizontal="center" wrapText="1"/>
    </x:xf>
    <x:xf numFmtId="0" fontId="13" fillId="21" borderId="0" xfId="0" applyNumberFormat="1" applyFont="1" applyFill="1" applyBorder="1" applyAlignment="1">
      <x:alignment horizontal="center" vertical="center" wrapText="1"/>
    </x:xf>
    <x:xf numFmtId="0" fontId="6" fillId="20" borderId="0" xfId="0" applyNumberFormat="1" applyFont="1" applyFill="1" applyBorder="1" applyAlignment="1">
      <x:alignment wrapText="1"/>
    </x:xf>
    <x:xf numFmtId="0" fontId="6" fillId="20" borderId="0" xfId="0" applyNumberFormat="1" applyFont="1" applyFill="1" applyBorder="1" applyAlignment="1">
      <x:alignment horizontal="center" wrapText="1"/>
    </x:xf>
    <x:xf numFmtId="0" fontId="6" fillId="20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top" wrapText="1"/>
    </x:xf>
    <x:xf numFmtId="0" fontId="0" fillId="22" borderId="0" xfId="0" applyNumberFormat="1" applyFont="1" applyFill="1" applyBorder="1" applyAlignment="1">
      <x:alignment vertical="top" wrapText="1"/>
    </x:xf>
    <x:xf numFmtId="0" fontId="0" fillId="23" borderId="0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 applyAlignment="1">
      <x:alignment vertical="top" wrapText="1"/>
    </x:xf>
    <x:xf numFmtId="0" fontId="0" fillId="26" borderId="0" xfId="0" applyNumberFormat="1" applyFont="1" applyFill="1" applyBorder="1" applyAlignment="1">
      <x:alignment vertical="top" wrapText="1"/>
    </x:xf>
    <x:xf numFmtId="0" fontId="15" fillId="26" borderId="0" xfId="0" applyNumberFormat="1" applyFont="1" applyFill="1" applyBorder="1" applyAlignment="1">
      <x:alignment vertical="top" wrapText="1"/>
    </x:xf>
    <x:xf numFmtId="0" fontId="15" fillId="26" borderId="0" xfId="0" applyNumberFormat="1" applyFont="1" applyFill="1" applyBorder="1" applyAlignment="1">
      <x:alignment horizontal="center" vertical="top" wrapText="1"/>
    </x:xf>
    <x:xf numFmtId="0" fontId="15" fillId="26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/>
    <x:xf numFmtId="0" fontId="16" fillId="27" borderId="0" xfId="0" applyNumberFormat="1" applyFont="1" applyFill="1" applyBorder="1"/>
    <x:xf numFmtId="0" fontId="16" fillId="27" borderId="0" xfId="0" applyNumberFormat="1" applyFont="1" applyFill="1" applyBorder="1" applyAlignment="1">
      <x:alignment vertical="center"/>
    </x:xf>
    <x:xf numFmtId="202" fontId="16" fillId="27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 applyAlignment="1">
      <x:alignment horizontal="center" vertical="center"/>
    </x:xf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28" borderId="0" xfId="0" applyNumberFormat="1" applyFont="1" applyFill="1" applyBorder="1" applyAlignment="1">
      <x:alignment horizontal="left" vertical="top" wrapText="1"/>
    </x:xf>
    <x:xf numFmtId="0" fontId="0" fillId="29" borderId="0" xfId="0" applyNumberFormat="1" applyFont="1" applyFill="1" applyBorder="1" applyAlignment="1">
      <x:alignment horizontal="left" vertical="top" wrapText="1"/>
    </x:xf>
    <x:xf numFmtId="0" fontId="0" fillId="30" borderId="0" xfId="0" applyNumberFormat="1" applyFont="1" applyFill="1" applyBorder="1" applyAlignment="1">
      <x:alignment horizontal="left" vertical="top" wrapText="1"/>
    </x:xf>
    <x:xf numFmtId="0" fontId="0" fillId="31" borderId="0" xfId="0" applyNumberFormat="1" applyFont="1" applyFill="1" applyBorder="1" applyAlignment="1">
      <x:alignment horizontal="left" vertical="top" wrapText="1"/>
    </x:xf>
    <x:xf numFmtId="0" fontId="0" fillId="32" borderId="0" xfId="0" applyNumberFormat="1" applyFont="1" applyFill="1" applyBorder="1" applyAlignment="1">
      <x:alignment horizontal="left" vertical="top" wrapText="1"/>
    </x:xf>
    <x:xf numFmtId="0" fontId="0" fillId="33" borderId="0" xfId="0" applyNumberFormat="1" applyFont="1" applyFill="1" applyBorder="1" applyAlignment="1">
      <x:alignment horizontal="center" vertical="top" wrapText="1"/>
    </x:xf>
    <x:xf numFmtId="0" fontId="17" fillId="33" borderId="0" xfId="0" applyNumberFormat="1" applyFont="1" applyFill="1" applyBorder="1" applyAlignment="1">
      <x:alignment horizontal="center" vertical="top" wrapText="1"/>
    </x:xf>
    <x:xf numFmtId="0" fontId="18" fillId="0" borderId="0" xfId="0" applyNumberFormat="1" applyFont="1" applyFill="1" applyBorder="1" applyAlignment="1">
      <x:alignment horizontal="left" vertical="top" wrapText="1"/>
    </x:xf>
    <x:xf numFmtId="0" fontId="18" fillId="0" borderId="0" xfId="0" applyNumberFormat="1" applyFont="1" applyFill="1" applyBorder="1" applyAlignment="1">
      <x:alignment vertical="top" wrapText="1"/>
    </x:xf>
    <x:xf numFmtId="0" fontId="18" fillId="34" borderId="0" xfId="0" applyNumberFormat="1" applyFont="1" applyFill="1" applyBorder="1" applyAlignment="1">
      <x:alignment horizontal="left" vertical="top" wrapText="1"/>
    </x:xf>
    <x:xf numFmtId="0" fontId="18" fillId="34" borderId="0" xfId="0" applyNumberFormat="1" applyFont="1" applyFill="1" applyBorder="1" applyAlignment="1">
      <x:alignment vertical="top" wrapText="1"/>
    </x:xf>
    <x:xf numFmtId="0" fontId="0" fillId="35" borderId="0" xfId="0" applyNumberFormat="1" applyFont="1" applyFill="1" applyBorder="1"/>
    <x:xf numFmtId="0" fontId="6" fillId="35" borderId="0" xfId="0" applyNumberFormat="1" applyFont="1" applyFill="1" applyBorder="1"/>
    <x:xf numFmtId="0" fontId="6" fillId="35" borderId="0" xfId="0" applyNumberFormat="1" applyFont="1" applyFill="1" applyBorder="1" applyAlignment="1">
      <x:alignment wrapText="0"/>
    </x:xf>
    <x:xf numFmtId="0" fontId="6" fillId="35" borderId="0" xfId="0" applyNumberFormat="1" applyFont="1" applyFill="1" applyBorder="1" applyAlignment="1">
      <x:alignment horizontal="center" wrapText="0"/>
    </x:xf>
    <x:xf numFmtId="0" fontId="6" fillId="35" borderId="0" xfId="0" applyNumberFormat="1" applyFont="1" applyFill="1" applyBorder="1" applyAlignment="1">
      <x:alignment horizontal="center" vertical="center" wrapText="0"/>
    </x:xf>
    <x:xf numFmtId="0" fontId="0" fillId="36" borderId="0" xfId="0" applyNumberFormat="1" applyFont="1" applyFill="1" applyBorder="1"/>
    <x:xf numFmtId="0" fontId="13" fillId="36" borderId="0" xfId="0" applyNumberFormat="1" applyFont="1" applyFill="1" applyBorder="1"/>
    <x:xf numFmtId="0" fontId="13" fillId="36" borderId="0" xfId="0" applyNumberFormat="1" applyFont="1" applyFill="1" applyBorder="1" applyAlignment="1">
      <x:alignment wrapText="1"/>
    </x:xf>
    <x:xf numFmtId="0" fontId="13" fillId="36" borderId="0" xfId="0" applyNumberFormat="1" applyFont="1" applyFill="1" applyBorder="1" applyAlignment="1">
      <x:alignment horizontal="center" wrapText="1"/>
    </x:xf>
    <x:xf numFmtId="0" fontId="13" fillId="36" borderId="0" xfId="0" applyNumberFormat="1" applyFont="1" applyFill="1" applyBorder="1" applyAlignment="1">
      <x:alignment horizontal="center" vertical="center" wrapText="1"/>
    </x:xf>
    <x:xf numFmtId="0" fontId="0" fillId="35" borderId="0" xfId="0" applyNumberFormat="1" applyFont="1" applyFill="1" applyBorder="1" applyAlignment="1">
      <x:alignment horizontal="left" vertical="top" wrapText="1"/>
    </x:xf>
    <x:xf numFmtId="0" fontId="0" fillId="35" borderId="0" xfId="0" applyNumberFormat="1" applyFont="1" applyFill="1" applyBorder="1" applyAlignment="1">
      <x:alignment vertical="top" wrapText="1"/>
    </x:xf>
    <x:xf numFmtId="0" fontId="6" fillId="35" borderId="0" xfId="0" applyNumberFormat="1" applyFont="1" applyFill="1" applyBorder="1" applyAlignment="1">
      <x:alignment horizontal="left" vertical="top" wrapText="1"/>
    </x:xf>
    <x:xf numFmtId="0" fontId="6" fillId="35" borderId="0" xfId="0" applyNumberFormat="1" applyFont="1" applyFill="1" applyBorder="1" applyAlignment="1">
      <x:alignment vertical="top" wrapText="1"/>
    </x:xf>
    <x:xf numFmtId="0" fontId="6" fillId="35" borderId="0" xfId="0" applyNumberFormat="1" applyFont="1" applyFill="1" applyBorder="1" applyAlignment="1">
      <x:alignment horizontal="center" vertical="top" wrapText="1"/>
    </x:xf>
    <x:xf numFmtId="0" fontId="6" fillId="35" borderId="0" xfId="0" applyNumberFormat="1" applyFont="1" applyFill="1" applyBorder="1" applyAlignment="1">
      <x:alignment horizontal="center" vertical="center" wrapText="1"/>
    </x:xf>
    <x:xf numFmtId="0" fontId="18" fillId="37" borderId="0" xfId="0" applyNumberFormat="1" applyFont="1" applyFill="1" applyBorder="1" applyAlignment="1">
      <x:alignment horizontal="left" vertical="top" wrapText="1"/>
    </x:xf>
    <x:xf numFmtId="0" fontId="18" fillId="37" borderId="0" xfId="0" applyNumberFormat="1" applyFont="1" applyFill="1" applyBorder="1" applyAlignment="1">
      <x:alignment vertical="top" wrapText="1"/>
    </x:xf>
    <x:xf numFmtId="0" fontId="0" fillId="37" borderId="0" xfId="0" applyNumberFormat="1" applyFont="1" applyFill="1" applyBorder="1" applyAlignment="1">
      <x:alignment vertical="top" wrapText="1"/>
    </x:xf>
    <x:xf numFmtId="0" fontId="16" fillId="37" borderId="0" xfId="0" applyNumberFormat="1" applyFont="1" applyFill="1" applyBorder="1" applyAlignment="1">
      <x:alignment horizontal="left" vertical="top" wrapText="1"/>
    </x:xf>
    <x:xf numFmtId="0" fontId="16" fillId="37" borderId="0" xfId="0" applyNumberFormat="1" applyFont="1" applyFill="1" applyBorder="1" applyAlignment="1">
      <x:alignment vertical="top" wrapText="1"/>
    </x:xf>
    <x:xf numFmtId="0" fontId="16" fillId="37" borderId="0" xfId="0" applyNumberFormat="1" applyFont="1" applyFill="1" applyBorder="1" applyAlignment="1">
      <x:alignment horizontal="left" vertical="top" wrapText="0"/>
    </x:xf>
    <x:xf numFmtId="0" fontId="16" fillId="37" borderId="0" xfId="0" applyNumberFormat="1" applyFont="1" applyFill="1" applyBorder="1" applyAlignment="1">
      <x:alignment vertical="top" wrapText="0"/>
    </x:xf>
    <x:xf numFmtId="0" fontId="16" fillId="37" borderId="0" xfId="0" applyNumberFormat="1" applyFont="1" applyFill="1" applyBorder="1" applyAlignment="1">
      <x:alignment horizontal="left" vertical="center" wrapText="0"/>
    </x:xf>
    <x:xf numFmtId="0" fontId="16" fillId="37" borderId="0" xfId="0" applyNumberFormat="1" applyFont="1" applyFill="1" applyBorder="1" applyAlignment="1">
      <x:alignment vertical="center" wrapText="0"/>
    </x:xf>
    <x:xf numFmtId="0" fontId="16" fillId="37" borderId="0" xfId="0" applyNumberFormat="1" applyFont="1" applyFill="1" applyBorder="1" applyAlignment="1">
      <x:alignment horizontal="center" vertical="center" wrapText="0"/>
    </x:xf>
    <x:xf numFmtId="0" fontId="6" fillId="9" borderId="0" xfId="0" applyNumberFormat="1" applyFont="1" applyFill="1" applyBorder="1" applyAlignment="1">
      <x:alignment wrapText="0"/>
    </x:xf>
    <x:xf numFmtId="0" fontId="6" fillId="9" borderId="0" xfId="0" applyNumberFormat="1" applyFont="1" applyFill="1" applyBorder="1" applyAlignment="1">
      <x:alignment horizontal="center" wrapText="0"/>
    </x:xf>
    <x:xf numFmtId="0" fontId="6" fillId="9" borderId="0" xfId="0" applyNumberFormat="1" applyFont="1" applyFill="1" applyBorder="1" applyAlignment="1">
      <x:alignment horizontal="center" vertical="center" wrapText="0"/>
    </x:xf>
    <x:xf numFmtId="0" fontId="0" fillId="9" borderId="0" xfId="0" applyNumberFormat="1" applyFont="1" applyFill="1" applyBorder="1" applyAlignment="1">
      <x:alignment horizontal="left"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horizontal="left" vertical="top" wrapText="1"/>
    </x:xf>
    <x:xf numFmtId="0" fontId="6" fillId="9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horizontal="center" vertical="top" wrapText="1"/>
    </x:xf>
    <x:xf numFmtId="0" fontId="18" fillId="27" borderId="0" xfId="0" applyNumberFormat="1" applyFont="1" applyFill="1" applyBorder="1" applyAlignment="1">
      <x:alignment horizontal="left" vertical="top" wrapText="1"/>
    </x:xf>
    <x:xf numFmtId="0" fontId="18" fillId="27" borderId="0" xfId="0" applyNumberFormat="1" applyFont="1" applyFill="1" applyBorder="1" applyAlignment="1">
      <x:alignment vertical="top" wrapText="1"/>
    </x:xf>
    <x:xf numFmtId="0" fontId="0" fillId="27" borderId="0" xfId="0" applyNumberFormat="1" applyFont="1" applyFill="1" applyBorder="1" applyAlignment="1">
      <x:alignment vertical="top" wrapText="1"/>
    </x:xf>
    <x:xf numFmtId="0" fontId="16" fillId="27" borderId="0" xfId="0" applyNumberFormat="1" applyFont="1" applyFill="1" applyBorder="1" applyAlignment="1">
      <x:alignment horizontal="left" vertical="top" wrapText="1"/>
    </x:xf>
    <x:xf numFmtId="0" fontId="16" fillId="27" borderId="0" xfId="0" applyNumberFormat="1" applyFont="1" applyFill="1" applyBorder="1" applyAlignment="1">
      <x:alignment vertical="top" wrapText="1"/>
    </x:xf>
    <x:xf numFmtId="0" fontId="16" fillId="27" borderId="0" xfId="0" applyNumberFormat="1" applyFont="1" applyFill="1" applyBorder="1" applyAlignment="1">
      <x:alignment horizontal="left" vertical="top" wrapText="0"/>
    </x:xf>
    <x:xf numFmtId="0" fontId="16" fillId="27" borderId="0" xfId="0" applyNumberFormat="1" applyFont="1" applyFill="1" applyBorder="1" applyAlignment="1">
      <x:alignment vertical="top" wrapText="0"/>
    </x:xf>
    <x:xf numFmtId="0" fontId="16" fillId="27" borderId="0" xfId="0" applyNumberFormat="1" applyFont="1" applyFill="1" applyBorder="1" applyAlignment="1">
      <x:alignment horizontal="left" vertical="center" wrapText="0"/>
    </x:xf>
    <x:xf numFmtId="0" fontId="16" fillId="27" borderId="0" xfId="0" applyNumberFormat="1" applyFont="1" applyFill="1" applyBorder="1" applyAlignment="1">
      <x:alignment vertical="center" wrapText="0"/>
    </x:xf>
    <x:xf numFmtId="0" fontId="16" fillId="27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vertical="center" wrapText="1"/>
    </x:xf>
    <x:xf numFmtId="0" fontId="0" fillId="38" borderId="0" xfId="0" applyNumberFormat="1" applyFont="1" applyFill="1" applyBorder="1"/>
    <x:xf numFmtId="0" fontId="19" fillId="38" borderId="0" xfId="0" applyNumberFormat="1" applyFont="1" applyFill="1" applyBorder="1"/>
    <x:xf numFmtId="0" fontId="19" fillId="38" borderId="0" xfId="0" applyNumberFormat="1" applyFont="1" applyFill="1" applyBorder="1" applyAlignment="1">
      <x:alignment horizontal="left"/>
    </x:xf>
    <x:xf numFmtId="0" fontId="19" fillId="38" borderId="0" xfId="0" applyNumberFormat="1" applyFont="1" applyFill="1" applyBorder="1" applyAlignment="1">
      <x:alignment horizontal="left" vertical="center"/>
    </x:xf>
    <x:xf numFmtId="0" fontId="0" fillId="39" borderId="0" xfId="0" applyNumberFormat="1" applyFont="1" applyFill="1" applyBorder="1"/>
    <x:xf numFmtId="0" fontId="20" fillId="39" borderId="0" xfId="0" applyNumberFormat="1" applyFont="1" applyFill="1" applyBorder="1"/>
    <x:xf numFmtId="0" fontId="20" fillId="39" borderId="0" xfId="0" applyNumberFormat="1" applyFont="1" applyFill="1" applyBorder="1" applyAlignment="1">
      <x:alignment wrapText="1"/>
    </x:xf>
    <x:xf numFmtId="0" fontId="20" fillId="39" borderId="0" xfId="0" applyNumberFormat="1" applyFont="1" applyFill="1" applyBorder="1" applyAlignment="1">
      <x:alignment horizontal="left" wrapText="1"/>
    </x:xf>
    <x:xf numFmtId="0" fontId="20" fillId="39" borderId="0" xfId="0" applyNumberFormat="1" applyFont="1" applyFill="1" applyBorder="1" applyAlignment="1">
      <x:alignment horizontal="left" vertical="center" wrapText="1"/>
    </x:xf>
    <x:xf numFmtId="0" fontId="0" fillId="40" borderId="0" xfId="0" applyNumberFormat="1" applyFont="1" applyFill="1" applyBorder="1"/>
    <x:xf numFmtId="0" fontId="21" fillId="40" borderId="0" xfId="0" applyNumberFormat="1" applyFont="1" applyFill="1" applyBorder="1"/>
    <x:xf numFmtId="0" fontId="21" fillId="40" borderId="6" xfId="0" applyNumberFormat="1" applyFont="1" applyFill="1" applyBorder="1"/>
    <x:xf numFmtId="0" fontId="21" fillId="40" borderId="7" xfId="0" applyNumberFormat="1" applyFont="1" applyFill="1" applyBorder="1"/>
    <x:xf numFmtId="0" fontId="21" fillId="40" borderId="8" xfId="0" applyNumberFormat="1" applyFont="1" applyFill="1" applyBorder="1"/>
    <x:xf numFmtId="0" fontId="21" fillId="40" borderId="6" xfId="0" applyNumberFormat="1" applyFont="1" applyFill="1" applyBorder="1" applyAlignment="1">
      <x:alignment wrapText="1"/>
    </x:xf>
    <x:xf numFmtId="0" fontId="21" fillId="40" borderId="7" xfId="0" applyNumberFormat="1" applyFont="1" applyFill="1" applyBorder="1" applyAlignment="1">
      <x:alignment wrapText="1"/>
    </x:xf>
    <x:xf numFmtId="0" fontId="21" fillId="40" borderId="8" xfId="0" applyNumberFormat="1" applyFont="1" applyFill="1" applyBorder="1" applyAlignment="1">
      <x:alignment wrapText="1"/>
    </x:xf>
    <x:xf numFmtId="0" fontId="21" fillId="40" borderId="6" xfId="0" applyNumberFormat="1" applyFont="1" applyFill="1" applyBorder="1" applyAlignment="1">
      <x:alignment horizontal="center" wrapText="1"/>
    </x:xf>
    <x:xf numFmtId="0" fontId="21" fillId="40" borderId="7" xfId="0" applyNumberFormat="1" applyFont="1" applyFill="1" applyBorder="1" applyAlignment="1">
      <x:alignment horizontal="center" wrapText="1"/>
    </x:xf>
    <x:xf numFmtId="0" fontId="21" fillId="40" borderId="8" xfId="0" applyNumberFormat="1" applyFont="1" applyFill="1" applyBorder="1" applyAlignment="1">
      <x:alignment horizontal="center" wrapText="1"/>
    </x:xf>
    <x:xf numFmtId="0" fontId="21" fillId="40" borderId="6" xfId="0" applyNumberFormat="1" applyFont="1" applyFill="1" applyBorder="1" applyAlignment="1">
      <x:alignment horizontal="center" vertical="center" wrapText="1"/>
    </x:xf>
    <x:xf numFmtId="0" fontId="21" fillId="40" borderId="7" xfId="0" applyNumberFormat="1" applyFont="1" applyFill="1" applyBorder="1" applyAlignment="1">
      <x:alignment horizontal="center" vertical="center" wrapText="1"/>
    </x:xf>
    <x:xf numFmtId="0" fontId="21" fillId="40" borderId="8" xfId="0" applyNumberFormat="1" applyFont="1" applyFill="1" applyBorder="1" applyAlignment="1">
      <x:alignment horizontal="center" vertical="center" wrapText="1"/>
    </x:xf>
    <x:xf numFmtId="0" fontId="22" fillId="0" borderId="0" xfId="0" applyNumberFormat="1" applyFont="1" applyFill="1" applyBorder="1"/>
    <x:xf numFmtId="0" fontId="22" fillId="0" borderId="9" xfId="0" applyNumberFormat="1" applyFont="1" applyFill="1" applyBorder="1"/>
    <x:xf numFmtId="0" fontId="22" fillId="0" xfId="0" applyNumberFormat="1" applyFont="1" applyFill="1" applyBorder="0"/>
    <x:xf numFmtId="0" fontId="22" fillId="0" borderId="10" xfId="0" applyNumberFormat="1" applyFont="1" applyFill="1" applyBorder="1"/>
    <x:xf numFmtId="0" fontId="22" fillId="0" borderId="11" xfId="0" applyNumberFormat="1" applyFont="1" applyFill="1" applyBorder="1"/>
    <x:xf numFmtId="0" fontId="22" fillId="0" borderId="12" xfId="0" applyNumberFormat="1" applyFont="1" applyFill="1" applyBorder="1"/>
    <x:xf numFmtId="0" fontId="22" fillId="0" borderId="13" xfId="0" applyNumberFormat="1" applyFont="1" applyFill="1" applyBorder="1"/>
    <x:xf numFmtId="0" fontId="22" fillId="0" borderId="9" xfId="0" applyNumberFormat="1" applyFont="1" applyFill="1" applyBorder="1" applyAlignment="1">
      <x:alignment wrapText="1"/>
    </x:xf>
    <x:xf numFmtId="0" fontId="22" fillId="0" xfId="0" applyNumberFormat="1" applyFont="1" applyFill="1" applyBorder="0" applyAlignment="1">
      <x:alignment wrapText="1"/>
    </x:xf>
    <x:xf numFmtId="0" fontId="22" fillId="0" borderId="10" xfId="0" applyNumberFormat="1" applyFont="1" applyFill="1" applyBorder="1" applyAlignment="1">
      <x:alignment wrapText="1"/>
    </x:xf>
    <x:xf numFmtId="0" fontId="22" fillId="0" borderId="11" xfId="0" applyNumberFormat="1" applyFont="1" applyFill="1" applyBorder="1" applyAlignment="1">
      <x:alignment wrapText="1"/>
    </x:xf>
    <x:xf numFmtId="0" fontId="22" fillId="0" borderId="12" xfId="0" applyNumberFormat="1" applyFont="1" applyFill="1" applyBorder="1" applyAlignment="1">
      <x:alignment wrapText="1"/>
    </x:xf>
    <x:xf numFmtId="0" fontId="22" fillId="0" borderId="13" xfId="0" applyNumberFormat="1" applyFont="1" applyFill="1" applyBorder="1" applyAlignment="1">
      <x:alignment wrapText="1"/>
    </x:xf>
    <x:xf numFmtId="0" fontId="22" fillId="0" borderId="9" xfId="0" applyNumberFormat="1" applyFont="1" applyFill="1" applyBorder="1" applyAlignment="1">
      <x:alignment vertical="top" wrapText="1"/>
    </x:xf>
    <x:xf numFmtId="0" fontId="22" fillId="0" xfId="0" applyNumberFormat="1" applyFont="1" applyFill="1" applyBorder="0" applyAlignment="1">
      <x:alignment vertical="top" wrapText="1"/>
    </x:xf>
    <x:xf numFmtId="0" fontId="22" fillId="0" borderId="10" xfId="0" applyNumberFormat="1" applyFont="1" applyFill="1" applyBorder="1" applyAlignment="1">
      <x:alignment vertical="top" wrapText="1"/>
    </x:xf>
    <x:xf numFmtId="0" fontId="22" fillId="0" borderId="11" xfId="0" applyNumberFormat="1" applyFont="1" applyFill="1" applyBorder="1" applyAlignment="1">
      <x:alignment vertical="top" wrapText="1"/>
    </x:xf>
    <x:xf numFmtId="0" fontId="22" fillId="0" borderId="12" xfId="0" applyNumberFormat="1" applyFont="1" applyFill="1" applyBorder="1" applyAlignment="1">
      <x:alignment vertical="top" wrapText="1"/>
    </x:xf>
    <x:xf numFmtId="0" fontId="22" fillId="0" borderId="13" xfId="0" applyNumberFormat="1" applyFont="1" applyFill="1" applyBorder="1" applyAlignment="1">
      <x:alignment vertical="top" wrapText="1"/>
    </x:xf>
    <x:xf numFmtId="0" fontId="21" fillId="39" borderId="0" xfId="0" applyNumberFormat="1" applyFont="1" applyFill="1" applyBorder="1"/>
    <x:xf numFmtId="0" fontId="21" fillId="39" borderId="0" xfId="0" applyNumberFormat="1" applyFont="1" applyFill="1" applyBorder="1" applyAlignment="1">
      <x:alignment wrapText="1"/>
    </x:xf>
    <x:xf numFmtId="0" fontId="21" fillId="39" borderId="0" xfId="0" applyNumberFormat="1" applyFont="1" applyFill="1" applyBorder="1" applyAlignment="1">
      <x:alignment vertical="center" wrapText="1"/>
    </x:xf>
    <x:xf numFmtId="0" fontId="22" fillId="0" borderId="9" xfId="0" applyNumberFormat="1" applyFont="1" applyFill="1" applyBorder="1" applyAlignment="1">
      <x:alignment horizontal="center" vertical="top" wrapText="1"/>
    </x:xf>
    <x:xf numFmtId="0" fontId="22" fillId="0" borderId="11" xfId="0" applyNumberFormat="1" applyFont="1" applyFill="1" applyBorder="1" applyAlignment="1">
      <x:alignment horizontal="center" vertical="top" wrapText="1"/>
    </x:xf>
    <x:xf numFmtId="0" fontId="22" fillId="0" xfId="0" applyNumberFormat="1" applyFont="1" applyFill="1" applyBorder="0" applyAlignment="1">
      <x:alignment horizontal="center" vertical="top" wrapText="1"/>
    </x:xf>
    <x:xf numFmtId="0" fontId="22" fillId="0" borderId="12" xfId="0" applyNumberFormat="1" applyFont="1" applyFill="1" applyBorder="1" applyAlignment="1">
      <x:alignment horizontal="center" vertical="top" wrapText="1"/>
    </x:xf>
    <x:xf numFmtId="0" fontId="22" fillId="0" borderId="10" xfId="0" applyNumberFormat="1" applyFont="1" applyFill="1" applyBorder="1" applyAlignment="1">
      <x:alignment horizontal="center" vertical="top" wrapText="1"/>
    </x:xf>
    <x:xf numFmtId="0" fontId="22" fillId="0" borderId="13" xfId="0" applyNumberFormat="1" applyFont="1" applyFill="1" applyBorder="1" applyAlignment="1">
      <x:alignment horizontal="center" vertical="top" wrapText="1"/>
    </x:xf>
    <x:xf numFmtId="202" fontId="22" fillId="0" xfId="0" applyNumberFormat="1" applyFont="1" applyFill="1" applyBorder="0" applyAlignment="1">
      <x:alignment horizontal="center" vertical="top" wrapText="1"/>
    </x:xf>
    <x:xf numFmtId="202" fontId="22" fillId="0" borderId="12" xfId="0" applyNumberFormat="1" applyFont="1" applyFill="1" applyBorder="1" applyAlignment="1">
      <x:alignment horizontal="center" vertical="top" wrapText="1"/>
    </x:xf>
    <x:xf numFmtId="202" fontId="21" fillId="39" borderId="0" xfId="0" applyNumberFormat="1" applyFont="1" applyFill="1" applyBorder="1" applyAlignment="1">
      <x:alignment vertical="center" wrapText="1"/>
    </x:xf>
    <x:xf numFmtId="0" fontId="22" fillId="41" borderId="10" xfId="0" applyNumberFormat="1" applyFont="1" applyFill="1" applyBorder="1" applyAlignment="1">
      <x:alignment horizontal="center" vertical="top" wrapText="1"/>
    </x:xf>
    <x:xf numFmtId="0" fontId="22" fillId="41" borderId="13" xfId="0" applyNumberFormat="1" applyFont="1" applyFill="1" applyBorder="1" applyAlignment="1">
      <x:alignment horizontal="center" vertical="top" wrapText="1"/>
    </x:xf>
    <x:xf numFmtId="0" fontId="23" fillId="41" borderId="10" xfId="0" applyNumberFormat="1" applyFont="1" applyFill="1" applyBorder="1" applyAlignment="1">
      <x:alignment horizontal="center" vertical="top" wrapText="1"/>
    </x:xf>
    <x:xf numFmtId="0" fontId="23" fillId="41" borderId="13" xfId="0" applyNumberFormat="1" applyFont="1" applyFill="1" applyBorder="1" applyAlignment="1">
      <x:alignment horizontal="center" vertical="top" wrapText="1"/>
    </x:xf>
    <x:xf numFmtId="0" fontId="22" fillId="42" borderId="9" xfId="0" applyNumberFormat="1" applyFont="1" applyFill="1" applyBorder="1" applyAlignment="1">
      <x:alignment horizontal="center" vertical="top" wrapText="1"/>
    </x:xf>
    <x:xf numFmtId="0" fontId="22" fillId="42" xfId="0" applyNumberFormat="1" applyFont="1" applyFill="1" applyBorder="0" applyAlignment="1">
      <x:alignment vertical="top" wrapText="1"/>
    </x:xf>
    <x:xf numFmtId="0" fontId="22" fillId="42" xfId="0" applyNumberFormat="1" applyFont="1" applyFill="1" applyBorder="0" applyAlignment="1">
      <x:alignment horizontal="center" vertical="top" wrapText="1"/>
    </x:xf>
    <x:xf numFmtId="202" fontId="22" fillId="42" xfId="0" applyNumberFormat="1" applyFont="1" applyFill="1" applyBorder="0" applyAlignment="1">
      <x:alignment horizontal="center" vertical="top" wrapText="1"/>
    </x:xf>
    <x:xf numFmtId="0" fontId="23" fillId="42" borderId="10" xfId="0" applyNumberFormat="1" applyFont="1" applyFill="1" applyBorder="1" applyAlignment="1">
      <x:alignment horizontal="center" vertical="top" wrapText="1"/>
    </x:xf>
    <x:xf numFmtId="0" fontId="0" fillId="43" borderId="0" xfId="0" applyNumberFormat="1" applyFont="1" applyFill="1" applyBorder="1"/>
    <x:xf numFmtId="0" fontId="24" fillId="43" borderId="0" xfId="0" applyNumberFormat="1" applyFont="1" applyFill="1" applyBorder="1"/>
    <x:xf numFmtId="0" fontId="24" fillId="43" borderId="14" xfId="0" applyNumberFormat="1" applyFont="1" applyFill="1" applyBorder="1"/>
    <x:xf numFmtId="0" fontId="24" fillId="43" borderId="15" xfId="0" applyNumberFormat="1" applyFont="1" applyFill="1" applyBorder="1"/>
    <x:xf numFmtId="0" fontId="24" fillId="43" borderId="16" xfId="0" applyNumberFormat="1" applyFont="1" applyFill="1" applyBorder="1"/>
    <x:xf numFmtId="0" fontId="24" fillId="43" borderId="17" xfId="0" applyNumberFormat="1" applyFont="1" applyFill="1" applyBorder="1"/>
    <x:xf numFmtId="0" fontId="24" fillId="43" borderId="18" xfId="0" applyNumberFormat="1" applyFont="1" applyFill="1" applyBorder="1"/>
    <x:xf numFmtId="0" fontId="24" fillId="43" borderId="19" xfId="0" applyNumberFormat="1" applyFont="1" applyFill="1" applyBorder="1"/>
    <x:xf numFmtId="0" fontId="24" fillId="43" borderId="14" xfId="0" applyNumberFormat="1" applyFont="1" applyFill="1" applyBorder="1" applyAlignment="1">
      <x:alignment wrapText="1"/>
    </x:xf>
    <x:xf numFmtId="0" fontId="24" fillId="43" borderId="15" xfId="0" applyNumberFormat="1" applyFont="1" applyFill="1" applyBorder="1" applyAlignment="1">
      <x:alignment wrapText="1"/>
    </x:xf>
    <x:xf numFmtId="0" fontId="24" fillId="43" borderId="16" xfId="0" applyNumberFormat="1" applyFont="1" applyFill="1" applyBorder="1" applyAlignment="1">
      <x:alignment wrapText="1"/>
    </x:xf>
    <x:xf numFmtId="0" fontId="24" fillId="43" borderId="17" xfId="0" applyNumberFormat="1" applyFont="1" applyFill="1" applyBorder="1" applyAlignment="1">
      <x:alignment wrapText="1"/>
    </x:xf>
    <x:xf numFmtId="0" fontId="24" fillId="43" borderId="18" xfId="0" applyNumberFormat="1" applyFont="1" applyFill="1" applyBorder="1" applyAlignment="1">
      <x:alignment wrapText="1"/>
    </x:xf>
    <x:xf numFmtId="0" fontId="24" fillId="43" borderId="19" xfId="0" applyNumberFormat="1" applyFont="1" applyFill="1" applyBorder="1" applyAlignment="1">
      <x:alignment wrapText="1"/>
    </x:xf>
    <x:xf numFmtId="0" fontId="24" fillId="43" borderId="14" xfId="0" applyNumberFormat="1" applyFont="1" applyFill="1" applyBorder="1" applyAlignment="1">
      <x:alignment horizontal="center" wrapText="1"/>
    </x:xf>
    <x:xf numFmtId="0" fontId="24" fillId="43" borderId="15" xfId="0" applyNumberFormat="1" applyFont="1" applyFill="1" applyBorder="1" applyAlignment="1">
      <x:alignment horizontal="center" wrapText="1"/>
    </x:xf>
    <x:xf numFmtId="0" fontId="24" fillId="43" borderId="16" xfId="0" applyNumberFormat="1" applyFont="1" applyFill="1" applyBorder="1" applyAlignment="1">
      <x:alignment horizontal="center" wrapText="1"/>
    </x:xf>
    <x:xf numFmtId="0" fontId="24" fillId="43" borderId="17" xfId="0" applyNumberFormat="1" applyFont="1" applyFill="1" applyBorder="1" applyAlignment="1">
      <x:alignment horizontal="center" wrapText="1"/>
    </x:xf>
    <x:xf numFmtId="0" fontId="24" fillId="43" borderId="18" xfId="0" applyNumberFormat="1" applyFont="1" applyFill="1" applyBorder="1" applyAlignment="1">
      <x:alignment horizontal="center" wrapText="1"/>
    </x:xf>
    <x:xf numFmtId="0" fontId="24" fillId="43" borderId="19" xfId="0" applyNumberFormat="1" applyFont="1" applyFill="1" applyBorder="1" applyAlignment="1">
      <x:alignment horizontal="center" wrapText="1"/>
    </x:xf>
    <x:xf numFmtId="0" fontId="24" fillId="43" borderId="14" xfId="0" applyNumberFormat="1" applyFont="1" applyFill="1" applyBorder="1" applyAlignment="1">
      <x:alignment horizontal="center" vertical="center" wrapText="1"/>
    </x:xf>
    <x:xf numFmtId="0" fontId="24" fillId="43" borderId="15" xfId="0" applyNumberFormat="1" applyFont="1" applyFill="1" applyBorder="1" applyAlignment="1">
      <x:alignment horizontal="center" vertical="center" wrapText="1"/>
    </x:xf>
    <x:xf numFmtId="0" fontId="24" fillId="43" borderId="16" xfId="0" applyNumberFormat="1" applyFont="1" applyFill="1" applyBorder="1" applyAlignment="1">
      <x:alignment horizontal="center" vertical="center" wrapText="1"/>
    </x:xf>
    <x:xf numFmtId="0" fontId="24" fillId="43" borderId="17" xfId="0" applyNumberFormat="1" applyFont="1" applyFill="1" applyBorder="1" applyAlignment="1">
      <x:alignment horizontal="center" vertical="center" wrapText="1"/>
    </x:xf>
    <x:xf numFmtId="0" fontId="24" fillId="43" borderId="18" xfId="0" applyNumberFormat="1" applyFont="1" applyFill="1" applyBorder="1" applyAlignment="1">
      <x:alignment horizontal="center" vertical="center" wrapText="1"/>
    </x:xf>
    <x:xf numFmtId="0" fontId="24" fillId="43" borderId="19" xfId="0" applyNumberFormat="1" applyFont="1" applyFill="1" applyBorder="1" applyAlignment="1">
      <x:alignment horizontal="center" vertical="center" wrapText="1"/>
    </x:xf>
    <x:xf numFmtId="203" fontId="24" fillId="43" borderId="16" xfId="0" applyNumberFormat="1" applyFont="1" applyFill="1" applyBorder="1" applyAlignment="1">
      <x:alignment horizontal="center" vertical="center" wrapText="1"/>
    </x:xf>
    <x:xf numFmtId="0" fontId="22" fillId="41" xfId="0" applyNumberFormat="1" applyFont="1" applyFill="1" applyBorder="0" applyAlignment="1">
      <x:alignment vertical="top" wrapText="1"/>
    </x:xf>
    <x:xf numFmtId="0" fontId="22" fillId="41" borderId="12" xfId="0" applyNumberFormat="1" applyFont="1" applyFill="1" applyBorder="1" applyAlignment="1">
      <x:alignment vertical="top" wrapText="1"/>
    </x:xf>
    <x:xf numFmtId="0" fontId="23" fillId="41" xfId="0" applyNumberFormat="1" applyFont="1" applyFill="1" applyBorder="0" applyAlignment="1">
      <x:alignment vertical="top" wrapText="1"/>
    </x:xf>
    <x:xf numFmtId="0" fontId="23" fillId="41" borderId="12" xfId="0" applyNumberFormat="1" applyFont="1" applyFill="1" applyBorder="1" applyAlignment="1">
      <x:alignment vertical="top" wrapText="1"/>
    </x:xf>
    <x:xf numFmtId="0" fontId="22" fillId="5" borderId="0" xfId="0" applyNumberFormat="1" applyFont="1" applyFill="1" applyBorder="1" applyAlignment="1">
      <x:alignment vertical="top" wrapText="1"/>
    </x:xf>
    <x:xf numFmtId="0" fontId="22" fillId="5" borderId="11" xfId="0" applyNumberFormat="1" applyFont="1" applyFill="1" applyBorder="1" applyAlignment="1">
      <x:alignment vertical="top" wrapText="1"/>
    </x:xf>
    <x:xf numFmtId="0" fontId="22" fillId="5" borderId="12" xfId="0" applyNumberFormat="1" applyFont="1" applyFill="1" applyBorder="1" applyAlignment="1">
      <x:alignment vertical="top" wrapText="1"/>
    </x:xf>
    <x:xf numFmtId="0" fontId="22" fillId="5" borderId="13" xfId="0" applyNumberFormat="1" applyFont="1" applyFill="1" applyBorder="1" applyAlignment="1">
      <x:alignment vertical="top" wrapText="1"/>
    </x:xf>
  </x:cellXfs>
  <x:cellStyles count="1">
    <x:cellStyle name="Normal" xfId="0"/>
  </x:cellStyles>
  <x:dxfs count="20"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7030A0"/>
      </x:font>
      <x:fill>
        <x:patternFill>
          <x:bgColor rgb="FFE4DFE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5B3A78"/>
      </x:font>
      <x:fill>
        <x:patternFill>
          <x:bgColor rgb="FFE4DFE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3F6B2A"/>
      </x:font>
      <x:fill>
        <x:patternFill>
          <x:bgColor rgb="FFE2F0D9"/>
        </x:patternFill>
      </x:fill>
    </x:dxf>
    <x:dxf>
      <x:font>
        <x:color rgb="FF666666"/>
      </x:font>
      <x:fill>
        <x:patternFill>
          <x:bgColor rgb="FFF2F2F2"/>
        </x:patternFill>
      </x:fill>
    </x:dxf>
    <x:dxf>
      <x:font>
        <x:b/>
        <x:color rgb="FF3F6B2A"/>
      </x:font>
      <x:fill>
        <x:patternFill>
          <x:bgColor rgb="FFE2F0D9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ill>
        <x:patternFill patternType="solid">
          <x:bgColor rgb="FFF7F3ED"/>
        </x:patternFill>
      </x:fill>
    </x:dxf>
    <x:dxf>
      <x:fill>
        <x:patternFill patternType="solid">
          <x:bgColor rgb="FFF7F3ED"/>
        </x:patternFill>
      </x:fill>
    </x:dxf>
    <x:dxf>
      <x:fill>
        <x:patternFill patternType="solid">
          <x:bgColor rgb="FFF7F3ED"/>
        </x:patternFill>
      </x:fill>
    </x:dxf>
    <x:dxf>
      <x:fill>
        <x:patternFill patternType="solid">
          <x:bgColor rgb="FFF7F3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3433adb5484ff4" /><Relationship Type="http://schemas.openxmlformats.org/officeDocument/2006/relationships/theme" Target="/xl/theme/theme1.xml" Id="R96f782f497a04e87" /><Relationship Type="http://schemas.openxmlformats.org/officeDocument/2006/relationships/sharedStrings" Target="/xl/sharedStrings.xml" Id="Rdf9808ccdbc4478c" /><Relationship Type="http://schemas.openxmlformats.org/officeDocument/2006/relationships/worksheet" Target="/xl/worksheets/sheet1.xml" Id="R44bbd0bbaeed43c7" /><Relationship Type="http://schemas.openxmlformats.org/officeDocument/2006/relationships/worksheet" Target="/xl/worksheets/sheet2.xml" Id="R2c34727133684132" /><Relationship Type="http://schemas.openxmlformats.org/officeDocument/2006/relationships/worksheet" Target="/xl/worksheets/sheet3.xml" Id="R7f92392fdca4454b" /><Relationship Type="http://schemas.openxmlformats.org/officeDocument/2006/relationships/worksheet" Target="/xl/worksheets/sheet4.xml" Id="R6253e98fbe284f6a" /><Relationship Type="http://schemas.openxmlformats.org/officeDocument/2006/relationships/worksheet" Target="/xl/worksheets/sheet5.xml" Id="R9ac5139345554410" /><Relationship Type="http://schemas.openxmlformats.org/officeDocument/2006/relationships/worksheet" Target="/xl/worksheets/sheet6.xml" Id="R92e91336f53c449b" /><Relationship Type="http://schemas.openxmlformats.org/officeDocument/2006/relationships/worksheet" Target="/xl/worksheets/sheet7.xml" Id="R36257df451ff4c2d" /><Relationship Type="http://schemas.openxmlformats.org/officeDocument/2006/relationships/worksheet" Target="/xl/worksheets/sheet8.xml" Id="Rd167e6550ff94d9a" /><Relationship Type="http://schemas.openxmlformats.org/officeDocument/2006/relationships/worksheet" Target="/xl/worksheets/sheet9.xml" Id="R07de8e20ca2f4b02" /><Relationship Type="http://schemas.openxmlformats.org/officeDocument/2006/relationships/worksheet" Target="/xl/worksheets/sheet10.xml" Id="Rb08f1876c3a54fc3" /><Relationship Type="http://schemas.openxmlformats.org/officeDocument/2006/relationships/worksheet" Target="/xl/worksheets/sheet11.xml" Id="R004fc2a3b22947b5" /><Relationship Type="http://schemas.openxmlformats.org/officeDocument/2006/relationships/worksheet" Target="/xl/worksheets/sheet12.xml" Id="Rc1f88917c914432e" /><Relationship Type="http://schemas.openxmlformats.org/officeDocument/2006/relationships/worksheet" Target="/xl/worksheets/sheet13.xml" Id="Rd55c9831933b4c2b" /><Relationship Type="http://schemas.openxmlformats.org/officeDocument/2006/relationships/worksheet" Target="/xl/worksheets/sheet14.xml" Id="Rb4d9b88ac8f542f1" /><Relationship Type="http://schemas.openxmlformats.org/officeDocument/2006/relationships/worksheet" Target="/xl/worksheets/sheet15.xml" Id="Rf8f062bc0bf04d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ed4c3d54e424f8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EP01 장면별 컷 수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컷 수</c:v>
          </c:tx>
          <c:cat>
            <c:strRef>
              <c:f>'요약'!$B$16:$B$32</c:f>
              <c:strCache>
                <c:ptCount val="0"/>
              </c:strCache>
            </c:strRef>
          </c:cat>
          <c:val>
            <c:numRef>
              <c:f>'요약'!$C$16:$C$32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d4c3d54e424f8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utTagTable" displayName="CutTagTable" ref="A1:AD283" headerRowCount="1">
  <x:tableColumns count="30">
    <x:tableColumn id="1" name="CUT_ID"/>
    <x:tableColumn id="2" name="BLOCK_ID"/>
    <x:tableColumn id="3" name="BLOCK_SPAN"/>
    <x:tableColumn id="4" name="SUBCUT"/>
    <x:tableColumn id="5" name="SCENE_ID"/>
    <x:tableColumn id="6" name="SOURCE_SECTION"/>
    <x:tableColumn id="7" name="SHOT_LAYOUT"/>
    <x:tableColumn id="8" name="SOURCE_FLAGS"/>
    <x:tableColumn id="9" name="BACKGROUND_ID"/>
    <x:tableColumn id="10" name="BACKGROUND_NAME"/>
    <x:tableColumn id="11" name="SCREEN_DETAIL"/>
    <x:tableColumn id="12" name="SCREEN_BLOCK_SOURCE"/>
    <x:tableColumn id="13" name="DIALOGUE_NARRATION"/>
    <x:tableColumn id="14" name="SFX"/>
    <x:tableColumn id="15" name="COMPOSITION"/>
    <x:tableColumn id="16" name="IMAGE_PROMPT"/>
    <x:tableColumn id="17" name="PRIMARY_FUNCTION"/>
    <x:tableColumn id="18" name="SECONDARY_TAGS"/>
    <x:tableColumn id="19" name="FIRST_READ"/>
    <x:tableColumn id="20" name="THIRD_READ"/>
    <x:tableColumn id="21" name="FIFTH_READ_DNA"/>
    <x:tableColumn id="22" name="GAME_ECHO"/>
    <x:tableColumn id="23" name="PAYOFF_CONNECTION"/>
    <x:tableColumn id="24" name="PAYOFF_STATUS"/>
    <x:tableColumn id="25" name="PRODUCTION_LOCKS"/>
    <x:tableColumn id="26" name="SPLIT_STATUS"/>
    <x:tableColumn id="27" name="REVIEW_STATUS"/>
    <x:tableColumn id="28" name="REVIEW_NOTE"/>
    <x:tableColumn id="29" name="SOURCE_FILE"/>
    <x:tableColumn id="30" name="SOURCE_LINE"/>
  </x:tableColumns>
  <x:tableStyleInfo name="TableStyleMedium2" showRowStripes="1"/>
</x:table>
</file>

<file path=xl/tables/table2.xml><?xml version="1.0" encoding="utf-8"?>
<x:table xmlns:x="http://schemas.openxmlformats.org/spreadsheetml/2006/main" id="2" name="BlockSourceTable" displayName="BlockSourceTable" ref="A1:Q256" headerRowCount="1">
  <x:tableColumns count="17">
    <x:tableColumn id="1" name="BLOCK_ID"/>
    <x:tableColumn id="2" name="START_CUT"/>
    <x:tableColumn id="3" name="END_CUT"/>
    <x:tableColumn id="4" name="SPAN"/>
    <x:tableColumn id="5" name="SCENE_ID"/>
    <x:tableColumn id="6" name="SOURCE_SECTION"/>
    <x:tableColumn id="7" name="SHOT_LAYOUT"/>
    <x:tableColumn id="8" name="SOURCE_FLAGS"/>
    <x:tableColumn id="9" name="BACKGROUND_ID"/>
    <x:tableColumn id="10" name="BACKGROUND_NAME"/>
    <x:tableColumn id="11" name="SCREEN_SOURCE"/>
    <x:tableColumn id="12" name="DIALOGUE_NARRATION"/>
    <x:tableColumn id="13" name="SFX"/>
    <x:tableColumn id="14" name="COMPOSITION"/>
    <x:tableColumn id="15" name="IMAGE_PROMPT"/>
    <x:tableColumn id="16" name="SOURCE_LINE"/>
    <x:tableColumn id="17" name="SPLIT_STATUS"/>
  </x:tableColumns>
  <x:tableStyleInfo name="TableStyleMedium2" showRowStripes="1"/>
</x:table>
</file>

<file path=xl/tables/table3.xml><?xml version="1.0" encoding="utf-8"?>
<x:table xmlns:x="http://schemas.openxmlformats.org/spreadsheetml/2006/main" id="3" name="ReviewQueueTable" displayName="ReviewQueueTable" ref="A1:J4" headerRowCount="1">
  <x:tableColumns count="10">
    <x:tableColumn id="1" name="CUT_ID"/>
    <x:tableColumn id="2" name="BLOCK_ID"/>
    <x:tableColumn id="3" name="SCENE_ID"/>
    <x:tableColumn id="4" name="SOURCE_SECTION"/>
    <x:tableColumn id="5" name="SCREEN_DETAIL"/>
    <x:tableColumn id="6" name="PAYOFF_CONNECTION"/>
    <x:tableColumn id="7" name="PAYOFF_STATUS"/>
    <x:tableColumn id="8" name="SPLIT_STATUS"/>
    <x:tableColumn id="9" name="REVIEW_NOTE"/>
    <x:tableColumn id="10" name="SOURCE_LINE"/>
  </x:tableColumns>
  <x:tableStyleInfo name="TableStyleMedium2" showRowStripes="1"/>
</x:table>
</file>

<file path=xl/tables/table4.xml><?xml version="1.0" encoding="utf-8"?>
<x:table xmlns:x="http://schemas.openxmlformats.org/spreadsheetml/2006/main" id="4" name="CodebookTable" displayName="CodebookTable" ref="A1:C18" headerRowCount="1">
  <x:tableColumns count="3">
    <x:tableColumn id="1" name="CODE"/>
    <x:tableColumn id="2" name="TYPE"/>
    <x:tableColumn id="3" name="DEFINI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9e20dda247c447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37d1aeb7894a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99d512597048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87537c6bdb47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d91e6ea0924d89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14" hidden="0" customWidth="1"/>
    <x:col min="4" max="4" width="24" hidden="0" customWidth="1"/>
    <x:col min="5" max="5" width="16" hidden="0" customWidth="1"/>
    <x:col min="6" max="6" width="34" hidden="0" customWidth="1"/>
    <x:col min="7" max="7" width="14" hidden="0" customWidth="1"/>
    <x:col min="8" max="8" width="14" hidden="0" customWidth="1"/>
  </x:cols>
  <x:sheetData>
    <x:row r="1" ht="34" customHeight="1">
      <x:c r="A1" s="57" t="str">
        <x:v>PROJECT TWILIGHT — EP01 282컷 태깅·연재 구현 원장 v2.0</x:v>
      </x:c>
      <x:c r="B1" s="57"/>
      <x:c r="C1" s="57"/>
      <x:c r="D1" s="57"/>
      <x:c r="E1" s="57"/>
      <x:c r="F1" s="57"/>
      <x:c r="G1" s="57"/>
      <x:c r="H1" s="57"/>
    </x:row>
    <x:row r="2" ht="34" customHeight="1">
      <x:c r="A2" s="57"/>
      <x:c r="B2" s="57"/>
      <x:c r="C2" s="57"/>
      <x:c r="D2" s="57"/>
      <x:c r="E2" s="57"/>
      <x:c r="F2" s="57"/>
      <x:c r="G2" s="57"/>
      <x:c r="H2" s="57"/>
    </x:row>
    <x:row r="3" ht="26" customHeight="1">
      <x:c r="A3" s="140" t="str">
        <x:v>모든 밑밥에는 역할이 있어야 한다. 그러나 모든 밑밥에 정답이 있을 필요는 없다.</x:v>
      </x:c>
      <x:c r="B3" s="140"/>
      <x:c r="C3" s="140"/>
      <x:c r="D3" s="140"/>
      <x:c r="E3" s="140"/>
      <x:c r="F3" s="140"/>
      <x:c r="G3" s="140"/>
      <x:c r="H3" s="140"/>
    </x:row>
    <x:row r="5" ht="44" customHeight="1">
      <x:c r="A5" s="72" t="str">
        <x:v>총 컷</x:v>
      </x:c>
      <x:c r="B5" s="80" t="n">
        <x:f>COUNTA('컷_태깅'!A2:A283)</x:f>
        <x:v>282</x:v>
      </x:c>
      <x:c r="C5" s="72" t="str">
        <x:v>원문 블록</x:v>
      </x:c>
      <x:c r="D5" s="80" t="n">
        <x:f>COUNTA('블록_원문'!A2:A256)</x:f>
        <x:v>255</x:v>
      </x:c>
      <x:c r="E5" s="72" t="str">
        <x:v>제작 검수</x:v>
      </x:c>
      <x:c r="F5" s="80" t="n">
        <x:f>COUNTIF('검수_큐'!B2:B20,"PRODUCTION_FIX")</x:f>
        <x:v>0</x:v>
      </x:c>
      <x:c r="G5" s="72" t="str">
        <x:v>OPEN 단서</x:v>
      </x:c>
      <x:c r="H5" s="80" t="n">
        <x:f>COUNTIF('컷_태깅'!X2:X283,"OPEN")</x:f>
        <x:v>2</x:v>
      </x:c>
    </x:row>
    <x:row r="7" ht="26" customHeight="1">
      <x:c r="A7" s="88" t="str">
        <x:v>현행 잠금</x:v>
      </x:c>
      <x:c r="B7" s="88"/>
      <x:c r="C7" s="88"/>
      <x:c r="D7" s="88"/>
      <x:c r="E7" s="102" t="str">
        <x:v>열린 단서 / 제작 검수 분리</x:v>
      </x:c>
      <x:c r="F7" s="102"/>
      <x:c r="G7" s="102"/>
      <x:c r="H7" s="102"/>
    </x:row>
    <x:row r="8" ht="34" customHeight="1">
      <x:c r="A8" s="94" t="str">
        <x:v>컷 수</x:v>
      </x:c>
      <x:c r="B8" s="98" t="str">
        <x:v>282컷 유지 — 압축 없음</x:v>
      </x:c>
      <x:c r="C8" s="98" t="str"/>
      <x:c r="D8" s="98" t="str"/>
      <x:c r="E8" s="141" t="str">
        <x:v>CUT 098</x:v>
      </x:c>
      <x:c r="F8" s="98" t="str">
        <x:v>OPEN · 붉은 스파이크 — 답 확정 의무 없음</x:v>
      </x:c>
      <x:c r="G8" s="98"/>
      <x:c r="H8" s="98"/>
    </x:row>
    <x:row r="9" ht="34" customHeight="1">
      <x:c r="A9" s="94" t="str">
        <x:v>캐논</x:v>
      </x:c>
      <x:c r="B9" s="98" t="str">
        <x:v>제1부 28화 완성 원고 우선</x:v>
      </x:c>
      <x:c r="C9" s="98" t="str"/>
      <x:c r="D9" s="98" t="str"/>
      <x:c r="E9" s="141" t="str">
        <x:v>CUT 154</x:v>
      </x:c>
      <x:c r="F9" s="98" t="str">
        <x:v>OPEN · 허수아비 문양 — 세계의 잔향</x:v>
      </x:c>
      <x:c r="G9" s="98"/>
      <x:c r="H9" s="98"/>
    </x:row>
    <x:row r="10" ht="34" customHeight="1">
      <x:c r="A10" s="94" t="str">
        <x:v>전역 시각</x:v>
      </x:c>
      <x:c r="B10" s="98" t="str">
        <x:v>엠버 단독 / 청록·도시 불빛·게임 UI 금지</x:v>
      </x:c>
      <x:c r="C10" s="98" t="str"/>
      <x:c r="D10" s="98" t="str"/>
      <x:c r="E10" s="141" t="str">
        <x:v>CUT 199</x:v>
      </x:c>
      <x:c r="F10" s="98" t="str">
        <x:v>RESOLVED · 소설의 ‘숨이 들어갔다’를 독립 예비동작으로 배치</x:v>
      </x:c>
      <x:c r="G10" s="98"/>
      <x:c r="H10" s="98"/>
    </x:row>
    <x:row r="11" ht="34" customHeight="1">
      <x:c r="A11" s="94" t="str">
        <x:v>관계 시그니처</x:v>
      </x:c>
      <x:c r="B11" s="98" t="str">
        <x:v>카인은 아인의 반보 뒤</x:v>
      </x:c>
      <x:c r="C11" s="98" t="str"/>
      <x:c r="D11" s="98" t="str"/>
      <x:c r="E11" s="141" t="str">
        <x:v>밑밥 원칙</x:v>
      </x:c>
      <x:c r="F11" s="98" t="str">
        <x:v>역할은 필수, 정답은 선택</x:v>
      </x:c>
      <x:c r="G11" s="98"/>
      <x:c r="H11" s="98"/>
    </x:row>
    <x:row r="12" ht="34" customHeight="1">
      <x:c r="A12" s="94" t="str">
        <x:v>게임 번역</x:v>
      </x:c>
      <x:c r="B12" s="98" t="str">
        <x:v>설명 UI보다 거리·박자·예비동작을 몸으로 학습</x:v>
      </x:c>
      <x:c r="C12" s="98" t="str"/>
      <x:c r="D12" s="98" t="str"/>
      <x:c r="E12" s="141" t="str">
        <x:v>현재 구현</x:v>
      </x:c>
      <x:c r="F12" s="98" t="str">
        <x:v>CUT001~282 실제 연재 구현 완료 · 다음 EP01 최종 조판/작화</x:v>
      </x:c>
      <x:c r="G12" s="98"/>
      <x:c r="H12" s="98"/>
    </x:row>
    <x:row r="14" ht="26" customHeight="1">
      <x:c r="A14" s="88" t="str">
        <x:v>장면별 컷 분포</x:v>
      </x:c>
      <x:c r="B14" s="88"/>
      <x:c r="C14" s="88"/>
      <x:c r="D14" s="88"/>
      <x:c r="F14" s="88" t="str">
        <x:v>기능별 컷 분포</x:v>
      </x:c>
      <x:c r="G14" s="88"/>
      <x:c r="H14" s="88"/>
    </x:row>
    <x:row r="15" ht="26" customHeight="1">
      <x:c r="A15" s="114" t="str">
        <x:v>SCENE_ID</x:v>
      </x:c>
      <x:c r="B15" s="114" t="str">
        <x:v>원문 절</x:v>
      </x:c>
      <x:c r="C15" s="114" t="str">
        <x:v>컷 수</x:v>
      </x:c>
      <x:c r="D15" s="114" t="str">
        <x:v>주 기능</x:v>
      </x:c>
      <x:c r="F15" s="114" t="str">
        <x:v>PRIMARY_FUNCTION</x:v>
      </x:c>
      <x:c r="G15" s="114" t="str">
        <x:v>컷 수</x:v>
      </x:c>
      <x:c r="H15" s="114" t="str">
        <x:v>비율</x:v>
      </x:c>
    </x:row>
    <x:row r="16">
      <x:c r="A16" s="120" t="str">
        <x:v>EP01-S00</x:v>
      </x:c>
      <x:c r="B16" s="120" t="str">
        <x:v>0절 남은 문서</x:v>
      </x:c>
      <x:c r="C16" s="124" t="n">
        <x:f>COUNTIF('컷_태깅'!$E$2:$E$283,A16)</x:f>
        <x:v>3</x:v>
      </x:c>
      <x:c r="D16" s="120" t="str">
        <x:v>WORLD_RULE</x:v>
      </x:c>
      <x:c r="F16" s="120" t="str">
        <x:v>WORLD_RULE</x:v>
      </x:c>
      <x:c r="G16" s="120" t="n">
        <x:f>COUNTIF('컷_태깅'!$Q$2:$Q$283,F16)</x:f>
        <x:v>3</x:v>
      </x:c>
      <x:c r="H16" s="130" t="n">
        <x:f>G16/$B$5</x:f>
        <x:v>0.010638297872340425</x:v>
      </x:c>
    </x:row>
    <x:row r="17">
      <x:c r="A17" s="120" t="str">
        <x:v>EP01-S01</x:v>
      </x:c>
      <x:c r="B17" s="120" t="str">
        <x:v>1절 옥상</x:v>
      </x:c>
      <x:c r="C17" s="124" t="n">
        <x:f>COUNTIF('컷_태깅'!$E$2:$E$283,A17)</x:f>
        <x:v>13</x:v>
      </x:c>
      <x:c r="D17" s="120" t="str">
        <x:v>WORLD_ATMOSPHERE</x:v>
      </x:c>
      <x:c r="F17" s="120" t="str">
        <x:v>WORLD_ATMOSPHERE</x:v>
      </x:c>
      <x:c r="G17" s="120" t="n">
        <x:f>COUNTIF('컷_태깅'!$Q$2:$Q$283,F17)</x:f>
        <x:v>5</x:v>
      </x:c>
      <x:c r="H17" s="130" t="n">
        <x:f>G17/$B$5</x:f>
        <x:v>0.01773049645390071</x:v>
      </x:c>
    </x:row>
    <x:row r="18">
      <x:c r="A18" s="120" t="str">
        <x:v>EP01-S02</x:v>
      </x:c>
      <x:c r="B18" s="120" t="str">
        <x:v>2절 미끄러진 것</x:v>
      </x:c>
      <x:c r="C18" s="124" t="n">
        <x:f>COUNTIF('컷_태깅'!$E$2:$E$283,A18)</x:f>
        <x:v>14</x:v>
      </x:c>
      <x:c r="D18" s="120" t="str">
        <x:v>TRAUMA_MEMORY</x:v>
      </x:c>
      <x:c r="F18" s="120" t="str">
        <x:v>CHARACTER_WEAPON_INTRO</x:v>
      </x:c>
      <x:c r="G18" s="120" t="n">
        <x:f>COUNTIF('컷_태깅'!$Q$2:$Q$283,F18)</x:f>
        <x:v>8</x:v>
      </x:c>
      <x:c r="H18" s="130" t="n">
        <x:f>G18/$B$5</x:f>
        <x:v>0.028368794326241134</x:v>
      </x:c>
    </x:row>
    <x:row r="19">
      <x:c r="A19" s="120" t="str">
        <x:v>EP01-S03</x:v>
      </x:c>
      <x:c r="B19" s="120" t="str">
        <x:v>3절 반보 뒤</x:v>
      </x:c>
      <x:c r="C19" s="124" t="n">
        <x:f>COUNTIF('컷_태깅'!$E$2:$E$283,A19)</x:f>
        <x:v>15</x:v>
      </x:c>
      <x:c r="D19" s="120" t="str">
        <x:v>CHARACTER_MEMORY_BRIDGE</x:v>
      </x:c>
      <x:c r="F19" s="120" t="str">
        <x:v>TRAUMA_MEMORY</x:v>
      </x:c>
      <x:c r="G19" s="120" t="n">
        <x:f>COUNTIF('컷_태깅'!$Q$2:$Q$283,F19)</x:f>
        <x:v>14</x:v>
      </x:c>
      <x:c r="H19" s="130" t="n">
        <x:f>G19/$B$5</x:f>
        <x:v>0.04964539007092199</x:v>
      </x:c>
    </x:row>
    <x:row r="20">
      <x:c r="A20" s="120" t="str">
        <x:v>EP01-S04</x:v>
      </x:c>
      <x:c r="B20" s="120" t="str">
        <x:v>4절 사람이 사는 곳</x:v>
      </x:c>
      <x:c r="C20" s="124" t="n">
        <x:f>COUNTIF('컷_태깅'!$E$2:$E$283,A20)</x:f>
        <x:v>13</x:v>
      </x:c>
      <x:c r="D20" s="120" t="str">
        <x:v>HUB_LIFE</x:v>
      </x:c>
      <x:c r="F20" s="120" t="str">
        <x:v>CHARACTER_MEMORY_BRIDGE</x:v>
      </x:c>
      <x:c r="G20" s="120" t="n">
        <x:f>COUNTIF('컷_태깅'!$Q$2:$Q$283,F20)</x:f>
        <x:v>3</x:v>
      </x:c>
      <x:c r="H20" s="130" t="n">
        <x:f>G20/$B$5</x:f>
        <x:v>0.010638297872340425</x:v>
      </x:c>
    </x:row>
    <x:row r="21">
      <x:c r="A21" s="120" t="str">
        <x:v>EP01-S05</x:v>
      </x:c>
      <x:c r="B21" s="120" t="str">
        <x:v>5절 재촉</x:v>
      </x:c>
      <x:c r="C21" s="124" t="n">
        <x:f>COUNTIF('컷_태깅'!$E$2:$E$283,A21)</x:f>
        <x:v>22</x:v>
      </x:c>
      <x:c r="D21" s="120" t="str">
        <x:v>CRAFT_DEBT</x:v>
      </x:c>
      <x:c r="F21" s="120" t="str">
        <x:v>RELATION_INTRO</x:v>
      </x:c>
      <x:c r="G21" s="120" t="n">
        <x:f>COUNTIF('컷_태깅'!$Q$2:$Q$283,F21)</x:f>
        <x:v>12</x:v>
      </x:c>
      <x:c r="H21" s="130" t="n">
        <x:f>G21/$B$5</x:f>
        <x:v>0.0425531914893617</x:v>
      </x:c>
    </x:row>
    <x:row r="22">
      <x:c r="A22" s="120" t="str">
        <x:v>EP01-S06</x:v>
      </x:c>
      <x:c r="B22" s="120" t="str">
        <x:v>6절 2년</x:v>
      </x:c>
      <x:c r="C22" s="124" t="n">
        <x:f>COUNTIF('컷_태깅'!$E$2:$E$283,A22)</x:f>
        <x:v>30</x:v>
      </x:c>
      <x:c r="D22" s="120" t="str">
        <x:v>RANK_ENTRY</x:v>
      </x:c>
      <x:c r="F22" s="120" t="str">
        <x:v>HUB_LIFE</x:v>
      </x:c>
      <x:c r="G22" s="120" t="n">
        <x:f>COUNTIF('컷_태깅'!$Q$2:$Q$283,F22)</x:f>
        <x:v>13</x:v>
      </x:c>
      <x:c r="H22" s="130" t="n">
        <x:f>G22/$B$5</x:f>
        <x:v>0.04609929078014184</x:v>
      </x:c>
    </x:row>
    <x:row r="23">
      <x:c r="A23" s="120" t="str">
        <x:v>EP01-S07</x:v>
      </x:c>
      <x:c r="B23" s="120" t="str">
        <x:v>7절 대장</x:v>
      </x:c>
      <x:c r="C23" s="124" t="n">
        <x:f>COUNTIF('컷_태깅'!$E$2:$E$283,A23)</x:f>
        <x:v>26</x:v>
      </x:c>
      <x:c r="D23" s="120" t="str">
        <x:v>ARCHIVE_FORESHADOW</x:v>
      </x:c>
      <x:c r="F23" s="120" t="str">
        <x:v>CRAFT_DEBT</x:v>
      </x:c>
      <x:c r="G23" s="120" t="n">
        <x:f>COUNTIF('컷_태깅'!$Q$2:$Q$283,F23)</x:f>
        <x:v>14</x:v>
      </x:c>
      <x:c r="H23" s="130" t="n">
        <x:f>G23/$B$5</x:f>
        <x:v>0.04964539007092199</x:v>
      </x:c>
    </x:row>
    <x:row r="24">
      <x:c r="A24" s="120" t="str">
        <x:v>EP01-S08</x:v>
      </x:c>
      <x:c r="B24" s="120" t="str">
        <x:v>8절 인력사무소</x:v>
      </x:c>
      <x:c r="C24" s="124" t="n">
        <x:f>COUNTIF('컷_태깅'!$E$2:$E$283,A24)</x:f>
        <x:v>13</x:v>
      </x:c>
      <x:c r="D24" s="120" t="str">
        <x:v>HUB_QUEST</x:v>
      </x:c>
      <x:c r="F24" s="120" t="str">
        <x:v>ECONOMIC_MOTIVE</x:v>
      </x:c>
      <x:c r="G24" s="120" t="n">
        <x:f>COUNTIF('컷_태깅'!$Q$2:$Q$283,F24)</x:f>
        <x:v>8</x:v>
      </x:c>
      <x:c r="H24" s="130" t="n">
        <x:f>G24/$B$5</x:f>
        <x:v>0.028368794326241134</x:v>
      </x:c>
    </x:row>
    <x:row r="25">
      <x:c r="A25" s="120" t="str">
        <x:v>EP01-S09</x:v>
      </x:c>
      <x:c r="B25" s="120" t="str">
        <x:v>8절 훈련장 진입</x:v>
      </x:c>
      <x:c r="C25" s="124" t="n">
        <x:f>COUNTIF('컷_태깅'!$E$2:$E$283,A25)</x:f>
        <x:v>16</x:v>
      </x:c>
      <x:c r="D25" s="120" t="str">
        <x:v>TUTORIAL_SETUP</x:v>
      </x:c>
      <x:c r="F25" s="120" t="str">
        <x:v>RANK_ENTRY</x:v>
      </x:c>
      <x:c r="G25" s="120" t="n">
        <x:f>COUNTIF('컷_태깅'!$Q$2:$Q$283,F25)</x:f>
        <x:v>11</x:v>
      </x:c>
      <x:c r="H25" s="130" t="n">
        <x:f>G25/$B$5</x:f>
        <x:v>0.03900709219858156</x:v>
      </x:c>
    </x:row>
    <x:row r="26">
      <x:c r="A26" s="120" t="str">
        <x:v>EP01-S10</x:v>
      </x:c>
      <x:c r="B26" s="120" t="str">
        <x:v>9절 원 전반</x:v>
      </x:c>
      <x:c r="C26" s="124" t="n">
        <x:f>COUNTIF('컷_태깅'!$E$2:$E$283,A26)</x:f>
        <x:v>21</x:v>
      </x:c>
      <x:c r="D26" s="120" t="str">
        <x:v>WEAPON_LANGUAGE</x:v>
      </x:c>
      <x:c r="F26" s="120" t="str">
        <x:v>RANK_SYSTEM</x:v>
      </x:c>
      <x:c r="G26" s="120" t="n">
        <x:f>COUNTIF('컷_태깅'!$Q$2:$Q$283,F26)</x:f>
        <x:v>19</x:v>
      </x:c>
      <x:c r="H26" s="130" t="n">
        <x:f>G26/$B$5</x:f>
        <x:v>0.0673758865248227</x:v>
      </x:c>
    </x:row>
    <x:row r="27">
      <x:c r="A27" s="120" t="str">
        <x:v>EP01-S11</x:v>
      </x:c>
      <x:c r="B27" s="120" t="str">
        <x:v>9절 각성 · 10절</x:v>
      </x:c>
      <x:c r="C27" s="124" t="n">
        <x:f>COUNTIF('컷_태깅'!$E$2:$E$283,A27)</x:f>
        <x:v>14</x:v>
      </x:c>
      <x:c r="D27" s="120" t="str">
        <x:v>BOSS_REVEAL</x:v>
      </x:c>
      <x:c r="F27" s="120" t="str">
        <x:v>ARCHIVE_FORESHADOW</x:v>
      </x:c>
      <x:c r="G27" s="120" t="n">
        <x:f>COUNTIF('컷_태깅'!$Q$2:$Q$283,F27)</x:f>
        <x:v>10</x:v>
      </x:c>
      <x:c r="H27" s="130" t="n">
        <x:f>G27/$B$5</x:f>
        <x:v>0.03546099290780142</x:v>
      </x:c>
    </x:row>
    <x:row r="28">
      <x:c r="A28" s="120" t="str">
        <x:v>EP01-S12</x:v>
      </x:c>
      <x:c r="B28" s="120" t="str">
        <x:v>11절 거리</x:v>
      </x:c>
      <x:c r="C28" s="124" t="n">
        <x:f>COUNTIF('컷_태깅'!$E$2:$E$283,A28)</x:f>
        <x:v>15</x:v>
      </x:c>
      <x:c r="D28" s="120" t="str">
        <x:v>RANGE_FAILURE</x:v>
      </x:c>
      <x:c r="F28" s="120" t="str">
        <x:v>ROUTINE_SYSTEM</x:v>
      </x:c>
      <x:c r="G28" s="120" t="n">
        <x:f>COUNTIF('컷_태깅'!$Q$2:$Q$283,F28)</x:f>
        <x:v>16</x:v>
      </x:c>
      <x:c r="H28" s="130" t="n">
        <x:f>G28/$B$5</x:f>
        <x:v>0.05673758865248227</x:v>
      </x:c>
    </x:row>
    <x:row r="29">
      <x:c r="A29" s="120" t="str">
        <x:v>EP01-S13</x:v>
      </x:c>
      <x:c r="B29" s="120" t="str">
        <x:v>12절 되돌려주는 법</x:v>
      </x:c>
      <x:c r="C29" s="124" t="n">
        <x:f>COUNTIF('컷_태깅'!$E$2:$E$283,A29)</x:f>
        <x:v>11</x:v>
      </x:c>
      <x:c r="D29" s="120" t="str">
        <x:v>GUARD_COUNTER</x:v>
      </x:c>
      <x:c r="F29" s="120" t="str">
        <x:v>HUB_QUEST</x:v>
      </x:c>
      <x:c r="G29" s="120" t="n">
        <x:f>COUNTIF('컷_태깅'!$Q$2:$Q$283,F29)</x:f>
        <x:v>13</x:v>
      </x:c>
      <x:c r="H29" s="130" t="n">
        <x:f>G29/$B$5</x:f>
        <x:v>0.04609929078014184</x:v>
      </x:c>
    </x:row>
    <x:row r="30">
      <x:c r="A30" s="120" t="str">
        <x:v>EP01-S14</x:v>
      </x:c>
      <x:c r="B30" s="120" t="str">
        <x:v>13절 끊는 법</x:v>
      </x:c>
      <x:c r="C30" s="124" t="n">
        <x:f>COUNTIF('컷_태깅'!$E$2:$E$283,A30)</x:f>
        <x:v>24</x:v>
      </x:c>
      <x:c r="D30" s="120" t="str">
        <x:v>PART_BREAK</x:v>
      </x:c>
      <x:c r="F30" s="120" t="str">
        <x:v>TUTORIAL_SETUP</x:v>
      </x:c>
      <x:c r="G30" s="120" t="n">
        <x:f>COUNTIF('컷_태깅'!$Q$2:$Q$283,F30)</x:f>
        <x:v>16</x:v>
      </x:c>
      <x:c r="H30" s="130" t="n">
        <x:f>G30/$B$5</x:f>
        <x:v>0.05673758865248227</x:v>
      </x:c>
    </x:row>
    <x:row r="31">
      <x:c r="A31" s="120" t="str">
        <x:v>EP01-S15</x:v>
      </x:c>
      <x:c r="B31" s="120" t="str">
        <x:v>14절 손실</x:v>
      </x:c>
      <x:c r="C31" s="124" t="n">
        <x:f>COUNTIF('컷_태깅'!$E$2:$E$283,A31)</x:f>
        <x:v>18</x:v>
      </x:c>
      <x:c r="D31" s="120" t="str">
        <x:v>HUMAN_CONSEQUENCE</x:v>
      </x:c>
      <x:c r="F31" s="120" t="str">
        <x:v>WEAPON_LANGUAGE</x:v>
      </x:c>
      <x:c r="G31" s="120" t="n">
        <x:f>COUNTIF('컷_태깅'!$Q$2:$Q$283,F31)</x:f>
        <x:v>21</x:v>
      </x:c>
      <x:c r="H31" s="130" t="n">
        <x:f>G31/$B$5</x:f>
        <x:v>0.07446808510638298</x:v>
      </x:c>
    </x:row>
    <x:row r="32">
      <x:c r="A32" s="120" t="str">
        <x:v>EP01-S16</x:v>
      </x:c>
      <x:c r="B32" s="120" t="str">
        <x:v>15절 출격</x:v>
      </x:c>
      <x:c r="C32" s="124" t="n">
        <x:f>COUNTIF('컷_태깅'!$E$2:$E$283,A32)</x:f>
        <x:v>14</x:v>
      </x:c>
      <x:c r="D32" s="120" t="str">
        <x:v>SORTIE_CLIFFHANGER</x:v>
      </x:c>
      <x:c r="F32" s="120" t="str">
        <x:v>BOSS_REVEAL</x:v>
      </x:c>
      <x:c r="G32" s="120" t="n">
        <x:f>COUNTIF('컷_태깅'!$Q$2:$Q$283,F32)</x:f>
        <x:v>14</x:v>
      </x:c>
      <x:c r="H32" s="130" t="n">
        <x:f>G32/$B$5</x:f>
        <x:v>0.04964539007092199</x:v>
      </x:c>
    </x:row>
    <x:row r="33">
      <x:c r="F33" s="120" t="str">
        <x:v>RANGE_FAILURE</x:v>
      </x:c>
      <x:c r="G33" s="120" t="n">
        <x:f>COUNTIF('컷_태깅'!$Q$2:$Q$283,F33)</x:f>
        <x:v>15</x:v>
      </x:c>
      <x:c r="H33" s="130" t="n">
        <x:f>G33/$B$5</x:f>
        <x:v>0.05319148936170213</x:v>
      </x:c>
    </x:row>
    <x:row r="34">
      <x:c r="F34" s="120" t="str">
        <x:v>GUARD_COUNTER</x:v>
      </x:c>
      <x:c r="G34" s="120" t="n">
        <x:f>COUNTIF('컷_태깅'!$Q$2:$Q$283,F34)</x:f>
        <x:v>11</x:v>
      </x:c>
      <x:c r="H34" s="130" t="n">
        <x:f>G34/$B$5</x:f>
        <x:v>0.03900709219858156</x:v>
      </x:c>
    </x:row>
    <x:row r="35">
      <x:c r="F35" s="120" t="str">
        <x:v>PART_BREAK</x:v>
      </x:c>
      <x:c r="G35" s="120" t="n">
        <x:f>COUNTIF('컷_태깅'!$Q$2:$Q$283,F35)</x:f>
        <x:v>24</x:v>
      </x:c>
      <x:c r="H35" s="130" t="n">
        <x:f>G35/$B$5</x:f>
        <x:v>0.0851063829787234</x:v>
      </x:c>
    </x:row>
    <x:row r="36">
      <x:c r="F36" s="120" t="str">
        <x:v>HUMAN_CONSEQUENCE</x:v>
      </x:c>
      <x:c r="G36" s="120" t="n">
        <x:f>COUNTIF('컷_태깅'!$Q$2:$Q$283,F36)</x:f>
        <x:v>10</x:v>
      </x:c>
      <x:c r="H36" s="130" t="n">
        <x:f>G36/$B$5</x:f>
        <x:v>0.03546099290780142</x:v>
      </x:c>
    </x:row>
    <x:row r="37">
      <x:c r="F37" s="120" t="str">
        <x:v>LOSS_LEDGER</x:v>
      </x:c>
      <x:c r="G37" s="120" t="n">
        <x:f>COUNTIF('컷_태깅'!$Q$2:$Q$283,F37)</x:f>
        <x:v>8</x:v>
      </x:c>
      <x:c r="H37" s="130" t="n">
        <x:f>G37/$B$5</x:f>
        <x:v>0.028368794326241134</x:v>
      </x:c>
    </x:row>
    <x:row r="38">
      <x:c r="F38" s="120" t="str">
        <x:v>SORTIE_CLIFFHANGER</x:v>
      </x:c>
      <x:c r="G38" s="120" t="n">
        <x:f>COUNTIF('컷_태깅'!$Q$2:$Q$283,F38)</x:f>
        <x:v>14</x:v>
      </x:c>
      <x:c r="H38" s="130" t="n">
        <x:f>G38/$B$5</x:f>
        <x:v>0.04964539007092199</x:v>
      </x:c>
    </x:row>
  </x:sheetData>
  <x:mergeCells>
    <x:mergeCell ref="A1:H2"/>
    <x:mergeCell ref="A3:H3"/>
    <x:mergeCell ref="A7:D7"/>
    <x:mergeCell ref="B8:D8"/>
    <x:mergeCell ref="B9:D9"/>
    <x:mergeCell ref="B10:D10"/>
    <x:mergeCell ref="B11:D11"/>
    <x:mergeCell ref="B12:D12"/>
    <x:mergeCell ref="E7:H7"/>
    <x:mergeCell ref="F8:H8"/>
    <x:mergeCell ref="F9:H9"/>
    <x:mergeCell ref="F10:H10"/>
    <x:mergeCell ref="F11:H11"/>
    <x:mergeCell ref="F12:H12"/>
    <x:mergeCell ref="A14:D14"/>
    <x:mergeCell ref="F14:H14"/>
  </x:mergeCells>
  <x:pageMargins left="0.7" right="0.7" top="0.75" bottom="0.75" header="0.3" footer="0.3"/>
  <x:drawing xmlns:r="http://schemas.openxmlformats.org/officeDocument/2006/relationships" r:id="Rb9e20dda247c447f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10" hidden="0" customWidth="1"/>
    <x:col min="4" max="4" width="8" hidden="0" customWidth="1"/>
    <x:col min="5" max="5" width="11" hidden="0" customWidth="1"/>
    <x:col min="6" max="6" width="20" hidden="0" customWidth="1"/>
    <x:col min="7" max="7" width="22" hidden="0" customWidth="1"/>
    <x:col min="8" max="8" width="12" hidden="0" customWidth="1"/>
    <x:col min="9" max="9" width="12" hidden="0" customWidth="1"/>
    <x:col min="10" max="10" width="18" hidden="0" customWidth="1"/>
    <x:col min="11" max="11" width="34" hidden="0" customWidth="1"/>
    <x:col min="12" max="12" width="42" hidden="0" customWidth="1"/>
    <x:col min="13" max="13" width="40" hidden="0" customWidth="1"/>
    <x:col min="14" max="14" width="14" hidden="0" customWidth="1"/>
    <x:col min="15" max="15" width="18" hidden="0" customWidth="1"/>
    <x:col min="16" max="16" width="44" hidden="0" customWidth="1"/>
    <x:col min="17" max="17" width="22" hidden="0" customWidth="1"/>
    <x:col min="18" max="18" width="28" hidden="0" customWidth="1"/>
    <x:col min="19" max="19" width="38" hidden="0" customWidth="1"/>
    <x:col min="20" max="20" width="42" hidden="0" customWidth="1"/>
    <x:col min="21" max="21" width="26" hidden="0" customWidth="1"/>
    <x:col min="22" max="22" width="42" hidden="0" customWidth="1"/>
    <x:col min="23" max="23" width="40" hidden="0" customWidth="1"/>
    <x:col min="24" max="24" width="16" hidden="0" customWidth="1"/>
    <x:col min="25" max="25" width="44" hidden="0" customWidth="1"/>
    <x:col min="26" max="26" width="18" hidden="0" customWidth="1"/>
    <x:col min="27" max="27" width="14" hidden="0" customWidth="1"/>
    <x:col min="28" max="28" width="36" hidden="0" customWidth="1"/>
    <x:col min="29" max="29" width="30" hidden="0" customWidth="1"/>
    <x:col min="30" max="30" width="12" hidden="0" customWidth="1"/>
    <x:col min="31" max="31" width="18" hidden="0" customWidth="1"/>
    <x:col min="32" max="32" width="22" hidden="0" customWidth="1"/>
  </x:cols>
  <x:sheetData>
    <x:row r="1" ht="44" customHeight="1">
      <x:c r="A1" s="7" t="str">
        <x:v>CUT_ID</x:v>
      </x:c>
      <x:c r="B1" s="7" t="str">
        <x:v>BLOCK_ID</x:v>
      </x:c>
      <x:c r="C1" s="7" t="str">
        <x:v>BLOCK_SPAN</x:v>
      </x:c>
      <x:c r="D1" s="7" t="str">
        <x:v>SUBCUT</x:v>
      </x:c>
      <x:c r="E1" s="7" t="str">
        <x:v>SCENE_ID</x:v>
      </x:c>
      <x:c r="F1" s="7" t="str">
        <x:v>SOURCE_SECTION</x:v>
      </x:c>
      <x:c r="G1" s="7" t="str">
        <x:v>SHOT_LAYOUT</x:v>
      </x:c>
      <x:c r="H1" s="7" t="str">
        <x:v>SOURCE_FLAGS</x:v>
      </x:c>
      <x:c r="I1" s="7" t="str">
        <x:v>BACKGROUND_ID</x:v>
      </x:c>
      <x:c r="J1" s="7" t="str">
        <x:v>BACKGROUND_NAME</x:v>
      </x:c>
      <x:c r="K1" s="7" t="str">
        <x:v>SCREEN_DETAIL</x:v>
      </x:c>
      <x:c r="L1" s="7" t="str">
        <x:v>SCREEN_BLOCK_SOURCE</x:v>
      </x:c>
      <x:c r="M1" s="7" t="str">
        <x:v>DIALOGUE_NARRATION</x:v>
      </x:c>
      <x:c r="N1" s="7" t="str">
        <x:v>SFX</x:v>
      </x:c>
      <x:c r="O1" s="7" t="str">
        <x:v>COMPOSITION</x:v>
      </x:c>
      <x:c r="P1" s="7" t="str">
        <x:v>IMAGE_PROMPT</x:v>
      </x:c>
      <x:c r="Q1" s="7" t="str">
        <x:v>PRIMARY_FUNCTION</x:v>
      </x:c>
      <x:c r="R1" s="7" t="str">
        <x:v>SECONDARY_TAGS</x:v>
      </x:c>
      <x:c r="S1" s="7" t="str">
        <x:v>FIRST_READ</x:v>
      </x:c>
      <x:c r="T1" s="7" t="str">
        <x:v>THIRD_READ</x:v>
      </x:c>
      <x:c r="U1" s="7" t="str">
        <x:v>FIFTH_READ_DNA</x:v>
      </x:c>
      <x:c r="V1" s="7" t="str">
        <x:v>GAME_ECHO</x:v>
      </x:c>
      <x:c r="W1" s="7" t="str">
        <x:v>MEANING_CONNECTION</x:v>
      </x:c>
      <x:c r="X1" s="7" t="str">
        <x:v>NARRATIVE_STATUS</x:v>
      </x:c>
      <x:c r="Y1" s="7" t="str">
        <x:v>PRODUCTION_LOCKS</x:v>
      </x:c>
      <x:c r="Z1" s="7" t="str">
        <x:v>SPLIT_STATUS</x:v>
      </x:c>
      <x:c r="AA1" s="7" t="str">
        <x:v>REVIEW_STATUS</x:v>
      </x:c>
      <x:c r="AB1" s="7" t="str">
        <x:v>REVIEW_NOTE</x:v>
      </x:c>
      <x:c r="AC1" s="7" t="str">
        <x:v>SOURCE_FILE</x:v>
      </x:c>
      <x:c r="AD1" s="7" t="str">
        <x:v>SOURCE_LINE</x:v>
      </x:c>
      <x:c r="AE1" s="138" t="str">
        <x:v>TRUTH_MODE</x:v>
      </x:c>
      <x:c r="AF1" s="138" t="str">
        <x:v>READER_PROMISE</x:v>
      </x:c>
    </x:row>
    <x:row r="2" ht="72" customHeight="1">
      <x:c r="A2" s="24" t="str">
        <x:v>001</x:v>
      </x:c>
      <x:c r="B2" s="26" t="str">
        <x:v>B001-001</x:v>
      </x:c>
      <x:c r="C2" s="22" t="n">
        <x:v>1</x:v>
      </x:c>
      <x:c r="D2" s="22" t="str">
        <x:v>1/1</x:v>
      </x:c>
      <x:c r="E2" s="26" t="str">
        <x:v>EP01-S00</x:v>
      </x:c>
      <x:c r="F2" s="20" t="str">
        <x:v>0절 남은 문서</x:v>
      </x:c>
      <x:c r="G2" s="20" t="str">
        <x:v>문서</x:v>
      </x:c>
      <x:c r="H2" s="22" t="str"/>
      <x:c r="I2" s="24" t="str">
        <x:v>—</x:v>
      </x:c>
      <x:c r="J2" s="20" t="str">
        <x:v>배경 없음</x:v>
      </x:c>
      <x:c r="K2" s="16" t="str">
        <x:v>국방부 상황보고 제3보. 4항까지. 종이 질감, 접힌 자국</x:v>
      </x:c>
      <x:c r="L2" s="16" t="str">
        <x:v>국방부 상황보고 제3보. 4항까지. 종이 질감, 접힌 자국</x:v>
      </x:c>
      <x:c r="M2" s="16" t="str"/>
      <x:c r="N2" s="16" t="str"/>
      <x:c r="O2" s="16" t="str">
        <x:v>560px · 여백 넓</x:v>
      </x:c>
      <x:c r="P2" s="16" t="str">
        <x:v>A weathered official document page in Korean, folded creases, aged paper. Text block layout. No figures.</x:v>
      </x:c>
      <x:c r="Q2" s="16" t="str">
        <x:v>WORLD_RULE</x:v>
      </x:c>
      <x:c r="R2" s="16" t="str"/>
      <x:c r="S2" s="16" t="str">
        <x:v>총기와 기존 질서가 무너진 세계의 규칙을 즉시 제시</x:v>
      </x:c>
      <x:c r="T2" s="16" t="str">
        <x:v>후속 정보가 생기면 행동·배경의 의미를 재검토</x:v>
      </x:c>
      <x:c r="U2" s="16" t="str">
        <x:v>붕괴 / 적응 / 생활</x:v>
      </x:c>
      <x:c r="V2" s="16" t="str">
        <x:v>수집형 로어 문서·비조작 오프닝</x:v>
      </x:c>
      <x:c r="W2" s="16"/>
      <x:c r="X2" s="22" t="str">
        <x:v>NONE</x:v>
      </x:c>
      <x:c r="Y2" s="16" t="str">
        <x:v>총기 실물 작화 금지; 문서 내용만 / GLOBAL-VIS-01</x:v>
      </x:c>
      <x:c r="Z2" s="22" t="str">
        <x:v>SOURCE</x:v>
      </x:c>
      <x:c r="AA2" s="22"/>
      <x:c r="AB2" s="16"/>
      <x:c r="AC2" s="16" t="str">
        <x:v>EP01_대본_전량_001-282(2).md</x:v>
      </x:c>
      <x:c r="AD2" s="22" t="n">
        <x:v>49</x:v>
      </x:c>
      <x:c r="AE2" s="139" t="str">
        <x:v>NOT_APPLICABLE</x:v>
      </x:c>
      <x:c r="AF2" s="139" t="str">
        <x:v>NONE</x:v>
      </x:c>
    </x:row>
    <x:row r="3" ht="72" customHeight="1">
      <x:c r="A3" s="24" t="str">
        <x:v>002</x:v>
      </x:c>
      <x:c r="B3" s="26" t="str">
        <x:v>B002-002</x:v>
      </x:c>
      <x:c r="C3" s="22" t="n">
        <x:v>1</x:v>
      </x:c>
      <x:c r="D3" s="22" t="str">
        <x:v>1/1</x:v>
      </x:c>
      <x:c r="E3" s="26" t="str">
        <x:v>EP01-S00</x:v>
      </x:c>
      <x:c r="F3" s="20" t="str">
        <x:v>0절 남은 문서</x:v>
      </x:c>
      <x:c r="G3" s="20" t="str">
        <x:v>문서</x:v>
      </x:c>
      <x:c r="H3" s="22" t="str"/>
      <x:c r="I3" s="24" t="str">
        <x:v>—</x:v>
      </x:c>
      <x:c r="J3" s="20" t="str">
        <x:v>배경 없음</x:v>
      </x:c>
      <x:c r="K3" s="16" t="str">
        <x:v>「소화기 사용 관련」 공문. 2항 중간에서 끊긴다</x:v>
      </x:c>
      <x:c r="L3" s="16" t="str">
        <x:v>「소화기 사용 관련」 공문. 2항 중간에서 끊긴다</x:v>
      </x:c>
      <x:c r="M3" s="16" t="str"/>
      <x:c r="N3" s="16" t="str"/>
      <x:c r="O3" s="16" t="str">
        <x:v>560px · 여백 넓</x:v>
      </x:c>
      <x:c r="P3" s="16" t="str">
        <x:v>A second official document, cut off mid-sentence at the bottom. Aged paper.</x:v>
      </x:c>
      <x:c r="Q3" s="16" t="str">
        <x:v>WORLD_RULE</x:v>
      </x:c>
      <x:c r="R3" s="16" t="str"/>
      <x:c r="S3" s="16" t="str">
        <x:v>총기와 기존 질서가 무너진 세계의 규칙을 즉시 제시</x:v>
      </x:c>
      <x:c r="T3" s="16" t="str">
        <x:v>후속 정보가 생기면 행동·배경의 의미를 재검토</x:v>
      </x:c>
      <x:c r="U3" s="16" t="str">
        <x:v>붕괴 / 적응 / 생활</x:v>
      </x:c>
      <x:c r="V3" s="16" t="str">
        <x:v>수집형 로어 문서·비조작 오프닝</x:v>
      </x:c>
      <x:c r="W3" s="16"/>
      <x:c r="X3" s="22" t="str">
        <x:v>NONE</x:v>
      </x:c>
      <x:c r="Y3" s="16" t="str">
        <x:v>총기 실물 작화 금지; 문서 내용만 / GLOBAL-VIS-01</x:v>
      </x:c>
      <x:c r="Z3" s="22" t="str">
        <x:v>SOURCE</x:v>
      </x:c>
      <x:c r="AA3" s="22"/>
      <x:c r="AB3" s="16"/>
      <x:c r="AC3" s="16" t="str">
        <x:v>EP01_대본_전량_001-282(2).md</x:v>
      </x:c>
      <x:c r="AD3" s="22" t="n">
        <x:v>61</x:v>
      </x:c>
      <x:c r="AE3" s="139" t="str">
        <x:v>NOT_APPLICABLE</x:v>
      </x:c>
      <x:c r="AF3" s="139" t="str">
        <x:v>NONE</x:v>
      </x:c>
    </x:row>
    <x:row r="4" ht="72" customHeight="1">
      <x:c r="A4" s="24" t="str">
        <x:v>003</x:v>
      </x:c>
      <x:c r="B4" s="26" t="str">
        <x:v>B003-003</x:v>
      </x:c>
      <x:c r="C4" s="22" t="n">
        <x:v>1</x:v>
      </x:c>
      <x:c r="D4" s="22" t="str">
        <x:v>1/1</x:v>
      </x:c>
      <x:c r="E4" s="26" t="str">
        <x:v>EP01-S00</x:v>
      </x:c>
      <x:c r="F4" s="20" t="str">
        <x:v>0절 남은 문서</x:v>
      </x:c>
      <x:c r="G4" s="20" t="str">
        <x:v>문서</x:v>
      </x:c>
      <x:c r="H4" s="22" t="str">
        <x:v>⭐</x:v>
      </x:c>
      <x:c r="I4" s="24" t="str">
        <x:v>—</x:v>
      </x:c>
      <x:c r="J4" s="20" t="str">
        <x:v>배경 없음</x:v>
      </x:c>
      <x:c r="K4" s="16" t="str">
        <x:v>손글씨 「탄약 안 아껴도 됨 / 어차피 안 죽음」. 종이 귀퉁이가 찢겨 있다</x:v>
      </x:c>
      <x:c r="L4" s="16" t="str">
        <x:v>손글씨 「탄약 안 아껴도 됨 / 어차피 안 죽음」. 종이 귀퉁이가 찢겨 있다</x:v>
      </x:c>
      <x:c r="M4" s="16" t="str"/>
      <x:c r="N4" s="16" t="str"/>
      <x:c r="O4" s="16" t="str">
        <x:v>560px · 여백 극</x:v>
      </x:c>
      <x:c r="P4" s="16" t="str">
        <x:v>Handwritten Korean note on aged paper. The bottom right corner is torn away. Tired handwriting, not a joke.</x:v>
      </x:c>
      <x:c r="Q4" s="16" t="str">
        <x:v>WORLD_RULE</x:v>
      </x:c>
      <x:c r="R4" s="16" t="str">
        <x:v>SIGNATURE</x:v>
      </x:c>
      <x:c r="S4" s="16" t="str">
        <x:v>총기와 기존 질서가 무너진 세계의 규칙을 즉시 제시</x:v>
      </x:c>
      <x:c r="T4" s="16" t="str">
        <x:v>시그니처 상징의 기원</x:v>
      </x:c>
      <x:c r="U4" s="16" t="str">
        <x:v>손 / 놓침 / 책임</x:v>
      </x:c>
      <x:c r="V4" s="16" t="str">
        <x:v>수집형 로어 문서·비조작 오프닝</x:v>
      </x:c>
      <x:c r="W4" s="16"/>
      <x:c r="X4" s="22" t="str">
        <x:v>NONE</x:v>
      </x:c>
      <x:c r="Y4" s="16" t="str">
        <x:v>GLOBAL-VIS-01</x:v>
      </x:c>
      <x:c r="Z4" s="22" t="str">
        <x:v>SOURCE</x:v>
      </x:c>
      <x:c r="AA4" s="22"/>
      <x:c r="AB4" s="16"/>
      <x:c r="AC4" s="16" t="str">
        <x:v>EP01_대본_전량_001-282(2).md</x:v>
      </x:c>
      <x:c r="AD4" s="22" t="n">
        <x:v>73</x:v>
      </x:c>
      <x:c r="AE4" s="139" t="str">
        <x:v>NOT_APPLICABLE</x:v>
      </x:c>
      <x:c r="AF4" s="139" t="str">
        <x:v>NONE</x:v>
      </x:c>
    </x:row>
    <x:row r="5" ht="72" customHeight="1">
      <x:c r="A5" s="24" t="str">
        <x:v>004</x:v>
      </x:c>
      <x:c r="B5" s="26" t="str">
        <x:v>B004-004</x:v>
      </x:c>
      <x:c r="C5" s="22" t="n">
        <x:v>1</x:v>
      </x:c>
      <x:c r="D5" s="22" t="str">
        <x:v>1/1</x:v>
      </x:c>
      <x:c r="E5" s="26" t="str">
        <x:v>EP01-S01</x:v>
      </x:c>
      <x:c r="F5" s="20" t="str">
        <x:v>1절 옥상</x:v>
      </x:c>
      <x:c r="G5" s="20" t="str">
        <x:v>EWIDE 하이앵글 블리드</x:v>
      </x:c>
      <x:c r="H5" s="22" t="str"/>
      <x:c r="I5" s="24" t="str">
        <x:v>01-1</x:v>
      </x:c>
      <x:c r="J5" s="20" t="str">
        <x:v>옥상 광각</x:v>
      </x:c>
      <x:c r="K5" s="16" t="str">
        <x:v>보라와 핏빛 하늘. 무릎 높이 붉은 안개. 원경 오른쪽 반파된 남산타워</x:v>
      </x:c>
      <x:c r="L5" s="16" t="str">
        <x:v>보라와 핏빛 하늘. 무릎 높이 붉은 안개. 원경 오른쪽 반파된 남산타워</x:v>
      </x:c>
      <x:c r="M5" s="16" t="str"/>
      <x:c r="N5" s="16" t="str">
        <x:v>웅… 웅…</x:v>
      </x:c>
      <x:c r="O5" s="16" t="str">
        <x:v>1,500px · 여백 중</x:v>
      </x:c>
      <x:c r="P5" s="16" t="str">
        <x:v>Wide high angle over a ruined city at violet twilight. Knee high red fog over the rooftops. A half collapsed tower in the right distance. No lit windows.</x:v>
      </x:c>
      <x:c r="Q5" s="16" t="str">
        <x:v>WORLD_ATMOSPHERE</x:v>
      </x:c>
      <x:c r="R5" s="16" t="str"/>
      <x:c r="S5" s="16" t="str">
        <x:v>황혼의 서울을 한눈에 각인하고 공간의 공포를 체감</x:v>
      </x:c>
      <x:c r="T5" s="16" t="str">
        <x:v>후속 정보가 생기면 행동·배경의 의미를 재검토</x:v>
      </x:c>
      <x:c r="U5" s="16" t="str">
        <x:v>거리 / 박자 / 원 / 호출</x:v>
      </x:c>
      <x:c r="V5" s="16" t="str">
        <x:v>환경 카메라·랜드마크 사전 학습</x:v>
      </x:c>
      <x:c r="W5" s="16"/>
      <x:c r="X5" s="22" t="str">
        <x:v>NONE</x:v>
      </x:c>
      <x:c r="Y5" s="16" t="str">
        <x:v>GLOBAL-VIS-01</x:v>
      </x:c>
      <x:c r="Z5" s="22" t="str">
        <x:v>SOURCE</x:v>
      </x:c>
      <x:c r="AA5" s="22"/>
      <x:c r="AB5" s="16"/>
      <x:c r="AC5" s="16" t="str">
        <x:v>EP01_대본_전량_001-282(2).md</x:v>
      </x:c>
      <x:c r="AD5" s="22" t="n">
        <x:v>91</x:v>
      </x:c>
      <x:c r="AE5" s="139" t="str">
        <x:v>NOT_APPLICABLE</x:v>
      </x:c>
      <x:c r="AF5" s="139" t="str">
        <x:v>NONE</x:v>
      </x:c>
    </x:row>
    <x:row r="6" ht="72" customHeight="1">
      <x:c r="A6" s="24" t="str">
        <x:v>005</x:v>
      </x:c>
      <x:c r="B6" s="26" t="str">
        <x:v>B005-005</x:v>
      </x:c>
      <x:c r="C6" s="22" t="n">
        <x:v>1</x:v>
      </x:c>
      <x:c r="D6" s="22" t="str">
        <x:v>1/1</x:v>
      </x:c>
      <x:c r="E6" s="26" t="str">
        <x:v>EP01-S01</x:v>
      </x:c>
      <x:c r="F6" s="20" t="str">
        <x:v>1절 옥상</x:v>
      </x:c>
      <x:c r="G6" s="20" t="str">
        <x:v>WIDE</x:v>
      </x:c>
      <x:c r="H6" s="22" t="str"/>
      <x:c r="I6" s="24" t="str">
        <x:v>01-1-1</x:v>
      </x:c>
      <x:c r="J6" s="20" t="str">
        <x:v>하늘 세로</x:v>
      </x:c>
      <x:c r="K6" s="16" t="str">
        <x:v>하늘만. 나노 입자가 빛을 굴절시키는 층이 눈에 보인다</x:v>
      </x:c>
      <x:c r="L6" s="16" t="str">
        <x:v>하늘만. 나노 입자가 빛을 굴절시키는 층이 눈에 보인다</x:v>
      </x:c>
      <x:c r="M6" s="16" t="str">
        <x:v>나레이션: 하늘이 앓고 있었다.</x:v>
      </x:c>
      <x:c r="N6" s="16" t="str"/>
      <x:c r="O6" s="16" t="str">
        <x:v>430px · 여백 좁</x:v>
      </x:c>
      <x:c r="P6" s="16" t="str">
        <x:v>Only sky. Violet and crimson clouds with a visible refraction layer bending the light.</x:v>
      </x:c>
      <x:c r="Q6" s="16" t="str">
        <x:v>WORLD_ATMOSPHERE</x:v>
      </x:c>
      <x:c r="R6" s="16" t="str"/>
      <x:c r="S6" s="16" t="str">
        <x:v>황혼의 서울을 한눈에 각인하고 공간의 공포를 체감</x:v>
      </x:c>
      <x:c r="T6" s="16" t="str">
        <x:v>후속 정보가 생기면 행동·배경의 의미를 재검토</x:v>
      </x:c>
      <x:c r="U6" s="16" t="str">
        <x:v>호출 / 배양 / 응답</x:v>
      </x:c>
      <x:c r="V6" s="16" t="str">
        <x:v>환경 카메라·랜드마크 사전 학습</x:v>
      </x:c>
      <x:c r="W6" s="16"/>
      <x:c r="X6" s="22" t="str">
        <x:v>NONE</x:v>
      </x:c>
      <x:c r="Y6" s="16" t="str">
        <x:v>GLOBAL-VIS-01</x:v>
      </x:c>
      <x:c r="Z6" s="22" t="str">
        <x:v>SOURCE</x:v>
      </x:c>
      <x:c r="AA6" s="22"/>
      <x:c r="AB6" s="16"/>
      <x:c r="AC6" s="16" t="str">
        <x:v>EP01_대본_전량_001-282(2).md</x:v>
      </x:c>
      <x:c r="AD6" s="22" t="n">
        <x:v>104</x:v>
      </x:c>
      <x:c r="AE6" s="139" t="str">
        <x:v>NOT_APPLICABLE</x:v>
      </x:c>
      <x:c r="AF6" s="139" t="str">
        <x:v>NONE</x:v>
      </x:c>
    </x:row>
    <x:row r="7" ht="72" customHeight="1">
      <x:c r="A7" s="24" t="str">
        <x:v>006</x:v>
      </x:c>
      <x:c r="B7" s="26" t="str">
        <x:v>B006-006</x:v>
      </x:c>
      <x:c r="C7" s="22" t="n">
        <x:v>1</x:v>
      </x:c>
      <x:c r="D7" s="22" t="str">
        <x:v>1/1</x:v>
      </x:c>
      <x:c r="E7" s="26" t="str">
        <x:v>EP01-S01</x:v>
      </x:c>
      <x:c r="F7" s="20" t="str">
        <x:v>1절 옥상</x:v>
      </x:c>
      <x:c r="G7" s="20" t="str">
        <x:v>부감</x:v>
      </x:c>
      <x:c r="H7" s="22" t="str"/>
      <x:c r="I7" s="24" t="str">
        <x:v>01-1</x:v>
      </x:c>
      <x:c r="J7" s="20" t="str">
        <x:v>옥상 광각</x:v>
      </x:c>
      <x:c r="K7" s="16" t="str">
        <x:v>무너진 고가도로, 뒤집힌 시내버스. 덩굴처럼 뻗은 나노 결정</x:v>
      </x:c>
      <x:c r="L7" s="16" t="str">
        <x:v>무너진 고가도로, 뒤집힌 시내버스. 덩굴처럼 뻗은 나노 결정</x:v>
      </x:c>
      <x:c r="M7" s="16" t="str">
        <x:v>나레이션: 서울의 하늘은 2년째 파랗지 않았다.</x:v>
      </x:c>
      <x:c r="N7" s="16" t="str"/>
      <x:c r="O7" s="16" t="str">
        <x:v>400px · 여백 좁</x:v>
      </x:c>
      <x:c r="P7" s="16" t="str">
        <x:v>A collapsed overpass and an overturned city bus below. Nano crystals creeping like vines.</x:v>
      </x:c>
      <x:c r="Q7" s="16" t="str">
        <x:v>WORLD_ATMOSPHERE</x:v>
      </x:c>
      <x:c r="R7" s="16" t="str"/>
      <x:c r="S7" s="16" t="str">
        <x:v>황혼의 서울을 한눈에 각인하고 공간의 공포를 체감</x:v>
      </x:c>
      <x:c r="T7" s="16" t="str">
        <x:v>후속 정보가 생기면 행동·배경의 의미를 재검토</x:v>
      </x:c>
      <x:c r="U7" s="16" t="str">
        <x:v>각인 / 성장 대가 / 수거</x:v>
      </x:c>
      <x:c r="V7" s="16" t="str">
        <x:v>환경 카메라·랜드마크 사전 학습</x:v>
      </x:c>
      <x:c r="W7" s="16"/>
      <x:c r="X7" s="22" t="str">
        <x:v>NONE</x:v>
      </x:c>
      <x:c r="Y7" s="16" t="str">
        <x:v>GLOBAL-VIS-01</x:v>
      </x:c>
      <x:c r="Z7" s="22" t="str">
        <x:v>SOURCE</x:v>
      </x:c>
      <x:c r="AA7" s="22"/>
      <x:c r="AB7" s="16"/>
      <x:c r="AC7" s="16" t="str">
        <x:v>EP01_대본_전량_001-282(2).md</x:v>
      </x:c>
      <x:c r="AD7" s="22" t="n">
        <x:v>117</x:v>
      </x:c>
      <x:c r="AE7" s="139" t="str">
        <x:v>NOT_APPLICABLE</x:v>
      </x:c>
      <x:c r="AF7" s="139" t="str">
        <x:v>NONE</x:v>
      </x:c>
    </x:row>
    <x:row r="8" ht="72" customHeight="1">
      <x:c r="A8" s="24" t="str">
        <x:v>007</x:v>
      </x:c>
      <x:c r="B8" s="26" t="str">
        <x:v>B007-007</x:v>
      </x:c>
      <x:c r="C8" s="22" t="n">
        <x:v>1</x:v>
      </x:c>
      <x:c r="D8" s="22" t="str">
        <x:v>1/1</x:v>
      </x:c>
      <x:c r="E8" s="26" t="str">
        <x:v>EP01-S01</x:v>
      </x:c>
      <x:c r="F8" s="20" t="str">
        <x:v>1절 옥상</x:v>
      </x:c>
      <x:c r="G8" s="20" t="str">
        <x:v>CU</x:v>
      </x:c>
      <x:c r="H8" s="22" t="str"/>
      <x:c r="I8" s="24" t="str">
        <x:v>01-1</x:v>
      </x:c>
      <x:c r="J8" s="20" t="str">
        <x:v>옥상 광각</x:v>
      </x:c>
      <x:c r="K8" s="16" t="str">
        <x:v>글리치가 이는 간판 「대피소 →」. 화살표 방향에는 잔해뿐</x:v>
      </x:c>
      <x:c r="L8" s="16" t="str">
        <x:v>글리치가 이는 간판 「대피소 →」. 화살표 방향에는 잔해뿐</x:v>
      </x:c>
      <x:c r="M8" s="16" t="str"/>
      <x:c r="N8" s="16" t="str">
        <x:v>치지직—</x:v>
      </x:c>
      <x:c r="O8" s="16" t="str">
        <x:v>400px · 여백 넓</x:v>
      </x:c>
      <x:c r="P8" s="16" t="str">
        <x:v>A glitching sign with a Korean word and an arrow. Beyond the arrow, only rubble. The sign is not lit, only residual glitch.</x:v>
      </x:c>
      <x:c r="Q8" s="16" t="str">
        <x:v>WORLD_ATMOSPHERE</x:v>
      </x:c>
      <x:c r="R8" s="16" t="str"/>
      <x:c r="S8" s="16" t="str">
        <x:v>황혼의 서울을 한눈에 각인하고 공간의 공포를 체감</x:v>
      </x:c>
      <x:c r="T8" s="16" t="str">
        <x:v>후속 정보가 생기면 행동·배경의 의미를 재검토</x:v>
      </x:c>
      <x:c r="U8" s="16" t="str">
        <x:v>황혼 / 도시 / 침묵</x:v>
      </x:c>
      <x:c r="V8" s="16" t="str">
        <x:v>환경 카메라·랜드마크 사전 학습</x:v>
      </x:c>
      <x:c r="W8" s="16"/>
      <x:c r="X8" s="22" t="str">
        <x:v>NONE</x:v>
      </x:c>
      <x:c r="Y8" s="16" t="str">
        <x:v>GLOBAL-VIS-01</x:v>
      </x:c>
      <x:c r="Z8" s="22" t="str">
        <x:v>SOURCE</x:v>
      </x:c>
      <x:c r="AA8" s="22"/>
      <x:c r="AB8" s="16"/>
      <x:c r="AC8" s="16" t="str">
        <x:v>EP01_대본_전량_001-282(2).md</x:v>
      </x:c>
      <x:c r="AD8" s="22" t="n">
        <x:v>130</x:v>
      </x:c>
      <x:c r="AE8" s="139" t="str">
        <x:v>NOT_APPLICABLE</x:v>
      </x:c>
      <x:c r="AF8" s="139" t="str">
        <x:v>NONE</x:v>
      </x:c>
    </x:row>
    <x:row r="9" ht="72" customHeight="1">
      <x:c r="A9" s="24" t="str">
        <x:v>008</x:v>
      </x:c>
      <x:c r="B9" s="26" t="str">
        <x:v>B008-008</x:v>
      </x:c>
      <x:c r="C9" s="22" t="n">
        <x:v>1</x:v>
      </x:c>
      <x:c r="D9" s="22" t="str">
        <x:v>1/1</x:v>
      </x:c>
      <x:c r="E9" s="26" t="str">
        <x:v>EP01-S01</x:v>
      </x:c>
      <x:c r="F9" s="20" t="str">
        <x:v>1절 옥상</x:v>
      </x:c>
      <x:c r="G9" s="20" t="str">
        <x:v>LONG</x:v>
      </x:c>
      <x:c r="H9" s="22" t="str"/>
      <x:c r="I9" s="24" t="str">
        <x:v>01-1</x:v>
      </x:c>
      <x:c r="J9" s="20" t="str">
        <x:v>옥상 광각</x:v>
      </x:c>
      <x:c r="K9" s="16" t="str">
        <x:v>옥상 가장자리. 인물이 아주 작다. 등을 돌린 아인, 낫을 대각선으로 걸침</x:v>
      </x:c>
      <x:c r="L9" s="16" t="str">
        <x:v>옥상 가장자리. 인물이 아주 작다. 등을 돌린 아인, 낫을 대각선으로 걸침</x:v>
      </x:c>
      <x:c r="M9" s="16" t="str">
        <x:v>나레이션: 사람들은 이 색에 이름을 붙이지 않았다. / 그냥 황혼이라고 불렀다.</x:v>
      </x:c>
      <x:c r="N9" s="16" t="str"/>
      <x:c r="O9" s="16" t="str">
        <x:v>560px · 여백 중</x:v>
      </x:c>
      <x:c r="P9" s="16" t="str">
        <x:v>A small figure at the edge of a rooftop, seen from behind, a long scythe held diagonally across her back.</x:v>
      </x:c>
      <x:c r="Q9" s="16" t="str">
        <x:v>WORLD_ATMOSPHERE</x:v>
      </x:c>
      <x:c r="R9" s="16" t="str"/>
      <x:c r="S9" s="16" t="str">
        <x:v>황혼의 서울을 한눈에 각인하고 공간의 공포를 체감</x:v>
      </x:c>
      <x:c r="T9" s="16" t="str">
        <x:v>후속 정보가 생기면 행동·배경의 의미를 재검토</x:v>
      </x:c>
      <x:c r="U9" s="16" t="str">
        <x:v>거리 / 박자 / 원</x:v>
      </x:c>
      <x:c r="V9" s="16" t="str">
        <x:v>환경 카메라·랜드마크 사전 학습</x:v>
      </x:c>
      <x:c r="W9" s="16"/>
      <x:c r="X9" s="22" t="str">
        <x:v>NONE</x:v>
      </x:c>
      <x:c r="Y9" s="16" t="str">
        <x:v>아인 왼쪽 견갑·오른쪽 건틀릿 좌우 고정 / GLOBAL-VIS-01</x:v>
      </x:c>
      <x:c r="Z9" s="22" t="str">
        <x:v>SOURCE</x:v>
      </x:c>
      <x:c r="AA9" s="22"/>
      <x:c r="AB9" s="16"/>
      <x:c r="AC9" s="16" t="str">
        <x:v>EP01_대본_전량_001-282(2).md</x:v>
      </x:c>
      <x:c r="AD9" s="22" t="n">
        <x:v>143</x:v>
      </x:c>
      <x:c r="AE9" s="139" t="str">
        <x:v>NOT_APPLICABLE</x:v>
      </x:c>
      <x:c r="AF9" s="139" t="str">
        <x:v>NONE</x:v>
      </x:c>
    </x:row>
    <x:row r="10" ht="72" customHeight="1">
      <x:c r="A10" s="24" t="str">
        <x:v>009</x:v>
      </x:c>
      <x:c r="B10" s="26" t="str">
        <x:v>B009-009</x:v>
      </x:c>
      <x:c r="C10" s="22" t="n">
        <x:v>1</x:v>
      </x:c>
      <x:c r="D10" s="22" t="str">
        <x:v>1/1</x:v>
      </x:c>
      <x:c r="E10" s="26" t="str">
        <x:v>EP01-S01</x:v>
      </x:c>
      <x:c r="F10" s="20" t="str">
        <x:v>1절 옥상</x:v>
      </x:c>
      <x:c r="G10" s="20" t="str">
        <x:v>MS 측면</x:v>
      </x:c>
      <x:c r="H10" s="22" t="str"/>
      <x:c r="I10" s="24" t="str">
        <x:v>01-1-3</x:v>
      </x:c>
      <x:c r="J10" s="20" t="str">
        <x:v>옥상 근접판</x:v>
      </x:c>
      <x:c r="K10" s="16" t="str">
        <x:v>검은 웨이브 단발이 바람에. 깎여 있는 눈매</x:v>
      </x:c>
      <x:c r="L10" s="16" t="str">
        <x:v>검은 웨이브 단발이 바람에. 깎여 있는 눈매</x:v>
      </x:c>
      <x:c r="M10" s="16" t="str"/>
      <x:c r="N10" s="16" t="str"/>
      <x:c r="O10" s="16" t="str">
        <x:v>470px · 여백 좁</x:v>
      </x:c>
      <x:c r="P10" s="16" t="str">
        <x:v>Side view, bust to waist. Short choppy black hair moving in the wind. Sharp narrow eyes.</x:v>
      </x:c>
      <x:c r="Q10" s="16" t="str">
        <x:v>CHARACTER_WEAPON_INTRO</x:v>
      </x:c>
      <x:c r="R10" s="16" t="str"/>
      <x:c r="S10" s="16" t="str">
        <x:v>아인·코어·낫의 실루엣과 전투 정체성을 소개</x:v>
      </x:c>
      <x:c r="T10" s="16" t="str">
        <x:v>후속 정보가 생기면 행동·배경의 의미를 재검토</x:v>
      </x:c>
      <x:c r="U10" s="16" t="str">
        <x:v>거리 / 보호 / 선택</x:v>
      </x:c>
      <x:c r="V10" s="16" t="str">
        <x:v>무기 실루엣·코어 발광·스위트 스폿 시각 언어</x:v>
      </x:c>
      <x:c r="W10" s="16"/>
      <x:c r="X10" s="22" t="str">
        <x:v>NONE</x:v>
      </x:c>
      <x:c r="Y10" s="16" t="str">
        <x:v>GLOBAL-VIS-01</x:v>
      </x:c>
      <x:c r="Z10" s="22" t="str">
        <x:v>SOURCE</x:v>
      </x:c>
      <x:c r="AA10" s="22"/>
      <x:c r="AB10" s="16"/>
      <x:c r="AC10" s="16" t="str">
        <x:v>EP01_대본_전량_001-282(2).md</x:v>
      </x:c>
      <x:c r="AD10" s="22" t="n">
        <x:v>156</x:v>
      </x:c>
      <x:c r="AE10" s="139" t="str">
        <x:v>NOT_APPLICABLE</x:v>
      </x:c>
      <x:c r="AF10" s="139" t="str">
        <x:v>NONE</x:v>
      </x:c>
    </x:row>
    <x:row r="11" ht="72" customHeight="1">
      <x:c r="A11" s="24" t="str">
        <x:v>010</x:v>
      </x:c>
      <x:c r="B11" s="26" t="str">
        <x:v>B010-010</x:v>
      </x:c>
      <x:c r="C11" s="22" t="n">
        <x:v>1</x:v>
      </x:c>
      <x:c r="D11" s="22" t="str">
        <x:v>1/1</x:v>
      </x:c>
      <x:c r="E11" s="26" t="str">
        <x:v>EP01-S01</x:v>
      </x:c>
      <x:c r="F11" s="20" t="str">
        <x:v>1절 옥상</x:v>
      </x:c>
      <x:c r="G11" s="20" t="str">
        <x:v>ECU</x:v>
      </x:c>
      <x:c r="H11" s="22" t="str"/>
      <x:c r="I11" s="24" t="str">
        <x:v>01-1-3</x:v>
      </x:c>
      <x:c r="J11" s="20" t="str">
        <x:v>옥상 근접판</x:v>
      </x:c>
      <x:c r="K11" s="16" t="str">
        <x:v>오른뺨. 피가 사흘 된 것으로 보이게. 씻은 흔적 없음</x:v>
      </x:c>
      <x:c r="L11" s="16" t="str">
        <x:v>오른뺨. 피가 사흘 된 것으로 보이게. 씻은 흔적 없음</x:v>
      </x:c>
      <x:c r="M11" s="16" t="str"/>
      <x:c r="N11" s="16" t="str"/>
      <x:c r="O11" s="16" t="str">
        <x:v>400px · 여백 좁</x:v>
      </x:c>
      <x:c r="P11" s="16" t="str">
        <x:v>Extreme close on a right cheek with dried blood, three days old, never washed off.</x:v>
      </x:c>
      <x:c r="Q11" s="16" t="str">
        <x:v>CHARACTER_WEAPON_INTRO</x:v>
      </x:c>
      <x:c r="R11" s="16" t="str"/>
      <x:c r="S11" s="16" t="str">
        <x:v>아인·코어·낫의 실루엣과 전투 정체성을 소개</x:v>
      </x:c>
      <x:c r="T11" s="16" t="str">
        <x:v>후속 정보가 생기면 행동·배경의 의미를 재검토</x:v>
      </x:c>
      <x:c r="U11" s="16" t="str">
        <x:v>선택 / 대가 / 침묵</x:v>
      </x:c>
      <x:c r="V11" s="16" t="str">
        <x:v>무기 실루엣·코어 발광·스위트 스폿 시각 언어</x:v>
      </x:c>
      <x:c r="W11" s="16"/>
      <x:c r="X11" s="22" t="str">
        <x:v>NONE</x:v>
      </x:c>
      <x:c r="Y11" s="16" t="str">
        <x:v>GLOBAL-VIS-01</x:v>
      </x:c>
      <x:c r="Z11" s="22" t="str">
        <x:v>SOURCE</x:v>
      </x:c>
      <x:c r="AA11" s="22"/>
      <x:c r="AB11" s="16"/>
      <x:c r="AC11" s="16" t="str">
        <x:v>EP01_대본_전량_001-282(2).md</x:v>
      </x:c>
      <x:c r="AD11" s="22" t="n">
        <x:v>168</x:v>
      </x:c>
      <x:c r="AE11" s="139" t="str">
        <x:v>NOT_APPLICABLE</x:v>
      </x:c>
      <x:c r="AF11" s="139" t="str">
        <x:v>NONE</x:v>
      </x:c>
    </x:row>
    <x:row r="12" ht="72" customHeight="1">
      <x:c r="A12" s="24" t="str">
        <x:v>011</x:v>
      </x:c>
      <x:c r="B12" s="26" t="str">
        <x:v>B011-011</x:v>
      </x:c>
      <x:c r="C12" s="22" t="n">
        <x:v>1</x:v>
      </x:c>
      <x:c r="D12" s="22" t="str">
        <x:v>1/1</x:v>
      </x:c>
      <x:c r="E12" s="26" t="str">
        <x:v>EP01-S01</x:v>
      </x:c>
      <x:c r="F12" s="20" t="str">
        <x:v>1절 옥상</x:v>
      </x:c>
      <x:c r="G12" s="20" t="str">
        <x:v>ECU</x:v>
      </x:c>
      <x:c r="H12" s="22" t="str"/>
      <x:c r="I12" s="24" t="str">
        <x:v>01-1-3</x:v>
      </x:c>
      <x:c r="J12" s="20" t="str">
        <x:v>옥상 근접판</x:v>
      </x:c>
      <x:c r="K12" s="16" t="str">
        <x:v>목덜미→등판. 옷 위로 비치는 선. 살을 뚫고 나온 주황 코어</x:v>
      </x:c>
      <x:c r="L12" s="16" t="str">
        <x:v>목덜미→등판. 옷 위로 비치는 선. 살을 뚫고 나온 주황 코어</x:v>
      </x:c>
      <x:c r="M12" s="16" t="str"/>
      <x:c r="N12" s="16" t="str">
        <x:v>지— 직</x:v>
      </x:c>
      <x:c r="O12" s="16" t="str">
        <x:v>430px · 여백 중</x:v>
      </x:c>
      <x:c r="P12" s="16" t="str">
        <x:v>Extreme close on a nape and upper back. An amber crystal core protruding through the skin, its glow showing through fabric.</x:v>
      </x:c>
      <x:c r="Q12" s="16" t="str">
        <x:v>CHARACTER_WEAPON_INTRO</x:v>
      </x:c>
      <x:c r="R12" s="16" t="str"/>
      <x:c r="S12" s="16" t="str">
        <x:v>아인·코어·낫의 실루엣과 전투 정체성을 소개</x:v>
      </x:c>
      <x:c r="T12" s="16" t="str">
        <x:v>후속 정보가 생기면 행동·배경의 의미를 재검토</x:v>
      </x:c>
      <x:c r="U12" s="16" t="str">
        <x:v>각인 / 성장 대가 / 수거</x:v>
      </x:c>
      <x:c r="V12" s="16" t="str">
        <x:v>무기 실루엣·코어 발광·스위트 스폿 시각 언어</x:v>
      </x:c>
      <x:c r="W12" s="16"/>
      <x:c r="X12" s="22" t="str">
        <x:v>NONE</x:v>
      </x:c>
      <x:c r="Y12" s="16" t="str">
        <x:v>GLOBAL-VIS-01</x:v>
      </x:c>
      <x:c r="Z12" s="22" t="str">
        <x:v>SOURCE</x:v>
      </x:c>
      <x:c r="AA12" s="22"/>
      <x:c r="AB12" s="16"/>
      <x:c r="AC12" s="16" t="str">
        <x:v>EP01_대본_전량_001-282(2).md</x:v>
      </x:c>
      <x:c r="AD12" s="22" t="n">
        <x:v>180</x:v>
      </x:c>
      <x:c r="AE12" s="139" t="str">
        <x:v>NOT_APPLICABLE</x:v>
      </x:c>
      <x:c r="AF12" s="139" t="str">
        <x:v>NONE</x:v>
      </x:c>
    </x:row>
    <x:row r="13" ht="72" customHeight="1">
      <x:c r="A13" s="24" t="str">
        <x:v>012</x:v>
      </x:c>
      <x:c r="B13" s="26" t="str">
        <x:v>B012-012</x:v>
      </x:c>
      <x:c r="C13" s="22" t="n">
        <x:v>1</x:v>
      </x:c>
      <x:c r="D13" s="22" t="str">
        <x:v>1/1</x:v>
      </x:c>
      <x:c r="E13" s="26" t="str">
        <x:v>EP01-S01</x:v>
      </x:c>
      <x:c r="F13" s="20" t="str">
        <x:v>1절 옥상</x:v>
      </x:c>
      <x:c r="G13" s="20" t="str">
        <x:v>CU</x:v>
      </x:c>
      <x:c r="H13" s="22" t="str"/>
      <x:c r="I13" s="24" t="str">
        <x:v>01-1-3</x:v>
      </x:c>
      <x:c r="J13" s="20" t="str">
        <x:v>옥상 근접판</x:v>
      </x:c>
      <x:c r="K13" s="16" t="str">
        <x:v>코어가 심장 박자로 밝아졌다 어두워진다</x:v>
      </x:c>
      <x:c r="L13" s="16" t="str">
        <x:v>코어가 심장 박자로 밝아졌다 어두워진다</x:v>
      </x:c>
      <x:c r="M13" s="16" t="str"/>
      <x:c r="N13" s="16" t="str"/>
      <x:c r="O13" s="16" t="str">
        <x:v>380px · 여백 좁</x:v>
      </x:c>
      <x:c r="P13" s="16" t="str">
        <x:v>Close on an amber core pulsing with a heartbeat rhythm.</x:v>
      </x:c>
      <x:c r="Q13" s="16" t="str">
        <x:v>CHARACTER_WEAPON_INTRO</x:v>
      </x:c>
      <x:c r="R13" s="16" t="str"/>
      <x:c r="S13" s="16" t="str">
        <x:v>아인·코어·낫의 실루엣과 전투 정체성을 소개</x:v>
      </x:c>
      <x:c r="T13" s="16" t="str">
        <x:v>후속 정보가 생기면 행동·배경의 의미를 재검토</x:v>
      </x:c>
      <x:c r="U13" s="16" t="str">
        <x:v>각인 / 성장 대가 / 수거</x:v>
      </x:c>
      <x:c r="V13" s="16" t="str">
        <x:v>무기 실루엣·코어 발광·스위트 스폿 시각 언어</x:v>
      </x:c>
      <x:c r="W13" s="16"/>
      <x:c r="X13" s="22" t="str">
        <x:v>NONE</x:v>
      </x:c>
      <x:c r="Y13" s="16" t="str">
        <x:v>GLOBAL-VIS-01</x:v>
      </x:c>
      <x:c r="Z13" s="22" t="str">
        <x:v>SOURCE</x:v>
      </x:c>
      <x:c r="AA13" s="22"/>
      <x:c r="AB13" s="16"/>
      <x:c r="AC13" s="16" t="str">
        <x:v>EP01_대본_전량_001-282(2).md</x:v>
      </x:c>
      <x:c r="AD13" s="22" t="n">
        <x:v>193</x:v>
      </x:c>
      <x:c r="AE13" s="139" t="str">
        <x:v>NOT_APPLICABLE</x:v>
      </x:c>
      <x:c r="AF13" s="139" t="str">
        <x:v>NONE</x:v>
      </x:c>
    </x:row>
    <x:row r="14" ht="72" customHeight="1">
      <x:c r="A14" s="24" t="str">
        <x:v>013</x:v>
      </x:c>
      <x:c r="B14" s="26" t="str">
        <x:v>B013-013</x:v>
      </x:c>
      <x:c r="C14" s="22" t="n">
        <x:v>1</x:v>
      </x:c>
      <x:c r="D14" s="22" t="str">
        <x:v>1/1</x:v>
      </x:c>
      <x:c r="E14" s="26" t="str">
        <x:v>EP01-S01</x:v>
      </x:c>
      <x:c r="F14" s="20" t="str">
        <x:v>1절 옥상</x:v>
      </x:c>
      <x:c r="G14" s="20" t="str">
        <x:v>MS</x:v>
      </x:c>
      <x:c r="H14" s="22" t="str"/>
      <x:c r="I14" s="24" t="str">
        <x:v>01-1-3</x:v>
      </x:c>
      <x:c r="J14" s="20" t="str">
        <x:v>옥상 근접판</x:v>
      </x:c>
      <x:c r="K14" s="16" t="str">
        <x:v>오른손의 낫. 자루 172cm. 초승달 칼날. 농기구 실루엣</x:v>
      </x:c>
      <x:c r="L14" s="16" t="str">
        <x:v>오른손의 낫. 자루 172cm. 초승달 칼날. 농기구 실루엣</x:v>
      </x:c>
      <x:c r="M14" s="16" t="str"/>
      <x:c r="N14" s="16" t="str"/>
      <x:c r="O14" s="16" t="str">
        <x:v>400px · 여백 좁</x:v>
      </x:c>
      <x:c r="P14" s="16" t="str">
        <x:v>A long scythe held in the right hand. Crescent blade, farm tool silhouette, 172cm shaft.</x:v>
      </x:c>
      <x:c r="Q14" s="16" t="str">
        <x:v>CHARACTER_WEAPON_INTRO</x:v>
      </x:c>
      <x:c r="R14" s="16" t="str"/>
      <x:c r="S14" s="16" t="str">
        <x:v>아인·코어·낫의 실루엣과 전투 정체성을 소개</x:v>
      </x:c>
      <x:c r="T14" s="16" t="str">
        <x:v>후속 정보가 생기면 행동·배경의 의미를 재검토</x:v>
      </x:c>
      <x:c r="U14" s="16" t="str">
        <x:v>손 / 놓침 / 책임 / 거리</x:v>
      </x:c>
      <x:c r="V14" s="16" t="str">
        <x:v>무기 실루엣·코어 발광·스위트 스폿 시각 언어</x:v>
      </x:c>
      <x:c r="W14" s="16"/>
      <x:c r="X14" s="22" t="str">
        <x:v>NONE</x:v>
      </x:c>
      <x:c r="Y14" s="16" t="str">
        <x:v>GLOBAL-VIS-01</x:v>
      </x:c>
      <x:c r="Z14" s="22" t="str">
        <x:v>SOURCE</x:v>
      </x:c>
      <x:c r="AA14" s="22"/>
      <x:c r="AB14" s="16"/>
      <x:c r="AC14" s="16" t="str">
        <x:v>EP01_대본_전량_001-282(2).md</x:v>
      </x:c>
      <x:c r="AD14" s="22" t="n">
        <x:v>205</x:v>
      </x:c>
      <x:c r="AE14" s="139" t="str">
        <x:v>NOT_APPLICABLE</x:v>
      </x:c>
      <x:c r="AF14" s="139" t="str">
        <x:v>NONE</x:v>
      </x:c>
    </x:row>
    <x:row r="15" ht="72" customHeight="1">
      <x:c r="A15" s="24" t="str">
        <x:v>014</x:v>
      </x:c>
      <x:c r="B15" s="26" t="str">
        <x:v>B014-014</x:v>
      </x:c>
      <x:c r="C15" s="22" t="n">
        <x:v>1</x:v>
      </x:c>
      <x:c r="D15" s="22" t="str">
        <x:v>1/1</x:v>
      </x:c>
      <x:c r="E15" s="26" t="str">
        <x:v>EP01-S01</x:v>
      </x:c>
      <x:c r="F15" s="20" t="str">
        <x:v>1절 옥상</x:v>
      </x:c>
      <x:c r="G15" s="20" t="str">
        <x:v>ECU</x:v>
      </x:c>
      <x:c r="H15" s="22" t="str">
        <x:v>⭐🎣</x:v>
      </x:c>
      <x:c r="I15" s="24" t="str">
        <x:v>01-1-3</x:v>
      </x:c>
      <x:c r="J15" s="20" t="str">
        <x:v>옥상 근접판</x:v>
      </x:c>
      <x:c r="K15" s="16" t="str">
        <x:v>끝자락 4분의 1 지점. 주황 입자가 고동친다</x:v>
      </x:c>
      <x:c r="L15" s="16" t="str">
        <x:v>끝자락 4분의 1 지점. 주황 입자가 고동친다</x:v>
      </x:c>
      <x:c r="M15" s="16" t="str"/>
      <x:c r="N15" s="16" t="str"/>
      <x:c r="O15" s="16" t="str">
        <x:v>400px · 여백 중</x:v>
      </x:c>
      <x:c r="P15" s="16" t="str">
        <x:v>Extreme close on the outer quarter of a scythe blade. Amber particles pulsing along the edge.</x:v>
      </x:c>
      <x:c r="Q15" s="16" t="str">
        <x:v>CHARACTER_WEAPON_INTRO</x:v>
      </x:c>
      <x:c r="R15" s="16" t="str">
        <x:v>SIGNATURE / FORESHADOW</x:v>
      </x:c>
      <x:c r="S15" s="16" t="str">
        <x:v>아인·코어·낫의 실루엣과 전투 정체성을 소개</x:v>
      </x:c>
      <x:c r="T15" s="16" t="str">
        <x:v>처음에는 배경·노이즈로 보인 정보의 의미가 바뀜 / 시그니처 상징의 기원</x:v>
      </x:c>
      <x:c r="U15" s="16" t="str">
        <x:v>거리 / 박자 / 원 / 각인</x:v>
      </x:c>
      <x:c r="V15" s="16" t="str">
        <x:v>무기 실루엣·코어 발광·스위트 스폿 시각 언어</x:v>
      </x:c>
      <x:c r="W15" s="16"/>
      <x:c r="X15" s="22" t="str">
        <x:v>NONE</x:v>
      </x:c>
      <x:c r="Y15" s="16" t="str">
        <x:v>복선 강조 금지 / GLOBAL-VIS-01</x:v>
      </x:c>
      <x:c r="Z15" s="22" t="str">
        <x:v>SOURCE</x:v>
      </x:c>
      <x:c r="AA15" s="22"/>
      <x:c r="AB15" s="16"/>
      <x:c r="AC15" s="16" t="str">
        <x:v>EP01_대본_전량_001-282(2).md</x:v>
      </x:c>
      <x:c r="AD15" s="22" t="n">
        <x:v>217</x:v>
      </x:c>
      <x:c r="AE15" s="139" t="str">
        <x:v>NOT_APPLICABLE</x:v>
      </x:c>
      <x:c r="AF15" s="139" t="str">
        <x:v>NONE</x:v>
      </x:c>
    </x:row>
    <x:row r="16" ht="72" customHeight="1">
      <x:c r="A16" s="24" t="str">
        <x:v>015</x:v>
      </x:c>
      <x:c r="B16" s="26" t="str">
        <x:v>B015-015</x:v>
      </x:c>
      <x:c r="C16" s="22" t="n">
        <x:v>1</x:v>
      </x:c>
      <x:c r="D16" s="22" t="str">
        <x:v>1/1</x:v>
      </x:c>
      <x:c r="E16" s="26" t="str">
        <x:v>EP01-S01</x:v>
      </x:c>
      <x:c r="F16" s="20" t="str">
        <x:v>1절 옥상</x:v>
      </x:c>
      <x:c r="G16" s="20" t="str">
        <x:v>분할 인서트 세로 2단</x:v>
      </x:c>
      <x:c r="H16" s="22" t="str">
        <x:v>⭐</x:v>
      </x:c>
      <x:c r="I16" s="24" t="str">
        <x:v>01-1-3</x:v>
      </x:c>
      <x:c r="J16" s="20" t="str">
        <x:v>옥상 근접판</x:v>
      </x:c>
      <x:c r="K16" s="16" t="str">
        <x:v>위: 목덜미 코어 / 아래: 칼날 끝자락. 같은 색, 같은 박자로 명멸</x:v>
      </x:c>
      <x:c r="L16" s="16" t="str">
        <x:v>위: 목덜미 코어 / 아래: 칼날 끝자락. 같은 색, 같은 박자로 명멸</x:v>
      </x:c>
      <x:c r="M16" s="16" t="str"/>
      <x:c r="N16" s="16" t="str"/>
      <x:c r="O16" s="16" t="str">
        <x:v>520px · 여백 넓</x:v>
      </x:c>
      <x:c r="P16" s="16" t="str">
        <x:v>Two stacked panels. Top: an amber core at the nape. Bottom: the tip of a scythe blade. Same color, same pulse.</x:v>
      </x:c>
      <x:c r="Q16" s="16" t="str">
        <x:v>CHARACTER_WEAPON_INTRO</x:v>
      </x:c>
      <x:c r="R16" s="16" t="str">
        <x:v>SIGNATURE</x:v>
      </x:c>
      <x:c r="S16" s="16" t="str">
        <x:v>아인·코어·낫의 실루엣과 전투 정체성을 소개</x:v>
      </x:c>
      <x:c r="T16" s="16" t="str">
        <x:v>시그니처 상징의 기원</x:v>
      </x:c>
      <x:c r="U16" s="16" t="str">
        <x:v>거리 / 박자 / 원 / 각인</x:v>
      </x:c>
      <x:c r="V16" s="16" t="str">
        <x:v>무기 실루엣·코어 발광·스위트 스폿 시각 언어</x:v>
      </x:c>
      <x:c r="W16" s="16"/>
      <x:c r="X16" s="22" t="str">
        <x:v>NONE</x:v>
      </x:c>
      <x:c r="Y16" s="16" t="str">
        <x:v>GLOBAL-VIS-01</x:v>
      </x:c>
      <x:c r="Z16" s="22" t="str">
        <x:v>SOURCE</x:v>
      </x:c>
      <x:c r="AA16" s="22"/>
      <x:c r="AB16" s="16"/>
      <x:c r="AC16" s="16" t="str">
        <x:v>EP01_대본_전량_001-282(2).md</x:v>
      </x:c>
      <x:c r="AD16" s="22" t="n">
        <x:v>229</x:v>
      </x:c>
      <x:c r="AE16" s="139" t="str">
        <x:v>NOT_APPLICABLE</x:v>
      </x:c>
      <x:c r="AF16" s="139" t="str">
        <x:v>NONE</x:v>
      </x:c>
    </x:row>
    <x:row r="17" ht="72" customHeight="1">
      <x:c r="A17" s="24" t="str">
        <x:v>016</x:v>
      </x:c>
      <x:c r="B17" s="26" t="str">
        <x:v>B016-016</x:v>
      </x:c>
      <x:c r="C17" s="22" t="n">
        <x:v>1</x:v>
      </x:c>
      <x:c r="D17" s="22" t="str">
        <x:v>1/1</x:v>
      </x:c>
      <x:c r="E17" s="26" t="str">
        <x:v>EP01-S01</x:v>
      </x:c>
      <x:c r="F17" s="20" t="str">
        <x:v>1절 옥상</x:v>
      </x:c>
      <x:c r="G17" s="20" t="str">
        <x:v>CU 정면</x:v>
      </x:c>
      <x:c r="H17" s="22" t="str"/>
      <x:c r="I17" s="24" t="str">
        <x:v>01-1-3</x:v>
      </x:c>
      <x:c r="J17" s="20" t="str">
        <x:v>옥상 근접판</x:v>
      </x:c>
      <x:c r="K17" s="16" t="str">
        <x:v>아인이 눈을 감는다. 표정 없음</x:v>
      </x:c>
      <x:c r="L17" s="16" t="str">
        <x:v>아인이 눈을 감는다. 표정 없음</x:v>
      </x:c>
      <x:c r="M17" s="16" t="str">
        <x:v>나레이션: 황혼이 지는 도시. / 신이 버린 이 땅에 남은 건 차가운 쇳덩이와, / 죽지 못한 자들의 원한뿐이다.</x:v>
      </x:c>
      <x:c r="N17" s="16" t="str"/>
      <x:c r="O17" s="16" t="str">
        <x:v>620px · 여백 극</x:v>
      </x:c>
      <x:c r="P17" s="16" t="str">
        <x:v>Front view, bust. A young woman closing her eyes. No expression.</x:v>
      </x:c>
      <x:c r="Q17" s="16" t="str">
        <x:v>CHARACTER_WEAPON_INTRO</x:v>
      </x:c>
      <x:c r="R17" s="16" t="str"/>
      <x:c r="S17" s="16" t="str">
        <x:v>아인·코어·낫의 실루엣과 전투 정체성을 소개</x:v>
      </x:c>
      <x:c r="T17" s="16" t="str">
        <x:v>후속 정보가 생기면 행동·배경의 의미를 재검토</x:v>
      </x:c>
      <x:c r="U17" s="16" t="str">
        <x:v>선택 / 대가 / 침묵</x:v>
      </x:c>
      <x:c r="V17" s="16" t="str">
        <x:v>무기 실루엣·코어 발광·스위트 스폿 시각 언어</x:v>
      </x:c>
      <x:c r="W17" s="16"/>
      <x:c r="X17" s="22" t="str">
        <x:v>NONE</x:v>
      </x:c>
      <x:c r="Y17" s="16" t="str">
        <x:v>아인 왼쪽 견갑·오른쪽 건틀릿 좌우 고정 / GLOBAL-VIS-01</x:v>
      </x:c>
      <x:c r="Z17" s="22" t="str">
        <x:v>SOURCE</x:v>
      </x:c>
      <x:c r="AA17" s="22"/>
      <x:c r="AB17" s="16"/>
      <x:c r="AC17" s="16" t="str">
        <x:v>EP01_대본_전량_001-282(2).md</x:v>
      </x:c>
      <x:c r="AD17" s="22" t="n">
        <x:v>241</x:v>
      </x:c>
      <x:c r="AE17" s="139" t="str">
        <x:v>NOT_APPLICABLE</x:v>
      </x:c>
      <x:c r="AF17" s="139" t="str">
        <x:v>NONE</x:v>
      </x:c>
    </x:row>
    <x:row r="18" ht="72" customHeight="1">
      <x:c r="A18" s="24" t="str">
        <x:v>017</x:v>
      </x:c>
      <x:c r="B18" s="26" t="str">
        <x:v>B017-017</x:v>
      </x:c>
      <x:c r="C18" s="22" t="n">
        <x:v>1</x:v>
      </x:c>
      <x:c r="D18" s="22" t="str">
        <x:v>1/1</x:v>
      </x:c>
      <x:c r="E18" s="26" t="str">
        <x:v>EP01-S02</x:v>
      </x:c>
      <x:c r="F18" s="20" t="str">
        <x:v>2절 미끄러진 것</x:v>
      </x:c>
      <x:c r="G18" s="20" t="str">
        <x:v>ECU 무채색</x:v>
      </x:c>
      <x:c r="H18" s="22" t="str"/>
      <x:c r="I18" s="24" t="str">
        <x:v>02-1</x:v>
      </x:c>
      <x:c r="J18" s="20" t="str">
        <x:v>셔터 기본</x:v>
      </x:c>
      <x:c r="K18" s="16" t="str">
        <x:v>셔터 철판이 콘크리트 레일을 긁는다. 화면 전체가 흰빛에 탄다</x:v>
      </x:c>
      <x:c r="L18" s="16" t="str">
        <x:v>셔터 철판이 콘크리트 레일을 긁는다. 화면 전체가 흰빛에 탄다</x:v>
      </x:c>
      <x:c r="M18" s="16" t="str"/>
      <x:c r="N18" s="16" t="str">
        <x:v>끼이이이—</x:v>
      </x:c>
      <x:c r="O18" s="16" t="str">
        <x:v>420px · 여백 좁</x:v>
      </x:c>
      <x:c r="P18" s="16" t="str">
        <x:v>MONOCHROME, blown out white. A steel shutter scraping down a concrete rail.</x:v>
      </x:c>
      <x:c r="Q18" s="16" t="str">
        <x:v>TRAUMA_MEMORY</x:v>
      </x:c>
      <x:c r="R18" s="16" t="str"/>
      <x:c r="S18" s="16" t="str">
        <x:v>놓친 손의 기억으로 아인의 행동 동기를 감각적으로 체험</x:v>
      </x:c>
      <x:c r="T18" s="16" t="str">
        <x:v>외전 「셔터」 이후 손의 주체와 책임이 달라 보임</x:v>
      </x:c>
      <x:c r="U18" s="16" t="str">
        <x:v>기억 / 책임 / 놓침</x:v>
      </x:c>
      <x:c r="V18" s="16" t="str">
        <x:v>비조작 기억 컷신; QTE·성공 판정 금지</x:v>
      </x:c>
      <x:c r="W18" s="16" t="str">
        <x:v>EXPANSION: 외전 「셔터」</x:v>
      </x:c>
      <x:c r="X18" s="22" t="str">
        <x:v>EXPANSION</x:v>
      </x:c>
      <x:c r="Y18" s="16" t="str">
        <x:v>완전 무채색 / 백색 과노출 / GLOBAL-VIS-01</x:v>
      </x:c>
      <x:c r="Z18" s="22" t="str">
        <x:v>SOURCE</x:v>
      </x:c>
      <x:c r="AA18" s="22"/>
      <x:c r="AB18" s="16"/>
      <x:c r="AC18" s="16" t="str">
        <x:v>EP01_대본_전량_001-282(2).md</x:v>
      </x:c>
      <x:c r="AD18" s="22" t="n">
        <x:v>260</x:v>
      </x:c>
      <x:c r="AE18" s="139" t="str">
        <x:v>PRIVATE_TRUTH</x:v>
      </x:c>
      <x:c r="AF18" s="139" t="str">
        <x:v>OPTIONAL_EXTENSION</x:v>
      </x:c>
    </x:row>
    <x:row r="19" ht="72" customHeight="1">
      <x:c r="A19" s="24" t="str">
        <x:v>018</x:v>
      </x:c>
      <x:c r="B19" s="26" t="str">
        <x:v>B018-018</x:v>
      </x:c>
      <x:c r="C19" s="22" t="n">
        <x:v>1</x:v>
      </x:c>
      <x:c r="D19" s="22" t="str">
        <x:v>1/1</x:v>
      </x:c>
      <x:c r="E19" s="26" t="str">
        <x:v>EP01-S02</x:v>
      </x:c>
      <x:c r="F19" s="20" t="str">
        <x:v>2절 미끄러진 것</x:v>
      </x:c>
      <x:c r="G19" s="20" t="str">
        <x:v>인서트 무채색</x:v>
      </x:c>
      <x:c r="H19" s="22" t="str"/>
      <x:c r="I19" s="24" t="str">
        <x:v>02-1</x:v>
      </x:c>
      <x:c r="J19" s="20" t="str">
        <x:v>-a 틈 27%</x:v>
      </x:c>
      <x:c r="K19" s="16" t="str">
        <x:v>셔터 하단과 바닥 사이의 틈. 아직 넓다</x:v>
      </x:c>
      <x:c r="L19" s="16" t="str">
        <x:v>셔터 하단과 바닥 사이의 틈. 아직 넓다</x:v>
      </x:c>
      <x:c r="M19" s="16" t="str">
        <x:v>나레이션: 그 소리는 기억 속에서 실제보다 느리다.</x:v>
      </x:c>
      <x:c r="N19" s="16" t="str"/>
      <x:c r="O19" s="16" t="str">
        <x:v>360px · 여백 좁</x:v>
      </x:c>
      <x:c r="P19" s="16" t="str">
        <x:v>MONOCHROME. A wide gap under a descending shutter, white light pouring through.</x:v>
      </x:c>
      <x:c r="Q19" s="16" t="str">
        <x:v>TRAUMA_MEMORY</x:v>
      </x:c>
      <x:c r="R19" s="16" t="str"/>
      <x:c r="S19" s="16" t="str">
        <x:v>놓친 손의 기억으로 아인의 행동 동기를 감각적으로 체험</x:v>
      </x:c>
      <x:c r="T19" s="16" t="str">
        <x:v>외전 「셔터」 이후 손의 주체와 책임이 달라 보임</x:v>
      </x:c>
      <x:c r="U19" s="16" t="str">
        <x:v>기억 / 책임 / 놓침</x:v>
      </x:c>
      <x:c r="V19" s="16" t="str">
        <x:v>비조작 기억 컷신; QTE·성공 판정 금지</x:v>
      </x:c>
      <x:c r="W19" s="16" t="str">
        <x:v>EXPANSION: 외전 「셔터」</x:v>
      </x:c>
      <x:c r="X19" s="22" t="str">
        <x:v>EXPANSION</x:v>
      </x:c>
      <x:c r="Y19" s="16" t="str">
        <x:v>완전 무채색 / 백색 과노출 / GLOBAL-VIS-01</x:v>
      </x:c>
      <x:c r="Z19" s="22" t="str">
        <x:v>SOURCE</x:v>
      </x:c>
      <x:c r="AA19" s="22"/>
      <x:c r="AB19" s="16"/>
      <x:c r="AC19" s="16" t="str">
        <x:v>EP01_대본_전량_001-282(2).md</x:v>
      </x:c>
      <x:c r="AD19" s="22" t="n">
        <x:v>273</x:v>
      </x:c>
      <x:c r="AE19" s="139" t="str">
        <x:v>PRIVATE_TRUTH</x:v>
      </x:c>
      <x:c r="AF19" s="139" t="str">
        <x:v>OPTIONAL_EXTENSION</x:v>
      </x:c>
    </x:row>
    <x:row r="20" ht="72" customHeight="1">
      <x:c r="A20" s="24" t="str">
        <x:v>019</x:v>
      </x:c>
      <x:c r="B20" s="26" t="str">
        <x:v>B019-019</x:v>
      </x:c>
      <x:c r="C20" s="22" t="n">
        <x:v>1</x:v>
      </x:c>
      <x:c r="D20" s="22" t="str">
        <x:v>1/1</x:v>
      </x:c>
      <x:c r="E20" s="26" t="str">
        <x:v>EP01-S02</x:v>
      </x:c>
      <x:c r="F20" s="20" t="str">
        <x:v>2절 미끄러진 것</x:v>
      </x:c>
      <x:c r="G20" s="20" t="str">
        <x:v>인서트 무채색</x:v>
      </x:c>
      <x:c r="H20" s="22" t="str"/>
      <x:c r="I20" s="24" t="str">
        <x:v>02-1</x:v>
      </x:c>
      <x:c r="J20" s="20" t="str">
        <x:v>-b 틈 16%</x:v>
      </x:c>
      <x:c r="K20" s="16" t="str">
        <x:v>같은 틈. 조금 좁아졌다</x:v>
      </x:c>
      <x:c r="L20" s="16" t="str">
        <x:v>같은 틈. 조금 좁아졌다</x:v>
      </x:c>
      <x:c r="M20" s="16" t="str">
        <x:v>나레이션: 그래서 매번, 아직 시간이 있다는 착각이 든다.</x:v>
      </x:c>
      <x:c r="N20" s="16" t="str"/>
      <x:c r="O20" s="16" t="str">
        <x:v>360px · 여백 중</x:v>
      </x:c>
      <x:c r="P20" s="16" t="str">
        <x:v>MONOCHROME. The same gap, now narrower.</x:v>
      </x:c>
      <x:c r="Q20" s="16" t="str">
        <x:v>TRAUMA_MEMORY</x:v>
      </x:c>
      <x:c r="R20" s="16" t="str"/>
      <x:c r="S20" s="16" t="str">
        <x:v>놓친 손의 기억으로 아인의 행동 동기를 감각적으로 체험</x:v>
      </x:c>
      <x:c r="T20" s="16" t="str">
        <x:v>외전 「셔터」 이후 손의 주체와 책임이 달라 보임</x:v>
      </x:c>
      <x:c r="U20" s="16" t="str">
        <x:v>기억 / 책임 / 놓침</x:v>
      </x:c>
      <x:c r="V20" s="16" t="str">
        <x:v>비조작 기억 컷신; QTE·성공 판정 금지</x:v>
      </x:c>
      <x:c r="W20" s="16" t="str">
        <x:v>EXPANSION: 외전 「셔터」</x:v>
      </x:c>
      <x:c r="X20" s="22" t="str">
        <x:v>EXPANSION</x:v>
      </x:c>
      <x:c r="Y20" s="16" t="str">
        <x:v>완전 무채색 / 백색 과노출 / GLOBAL-VIS-01</x:v>
      </x:c>
      <x:c r="Z20" s="22" t="str">
        <x:v>SOURCE</x:v>
      </x:c>
      <x:c r="AA20" s="22"/>
      <x:c r="AB20" s="16"/>
      <x:c r="AC20" s="16" t="str">
        <x:v>EP01_대본_전량_001-282(2).md</x:v>
      </x:c>
      <x:c r="AD20" s="22" t="n">
        <x:v>286</x:v>
      </x:c>
      <x:c r="AE20" s="139" t="str">
        <x:v>PRIVATE_TRUTH</x:v>
      </x:c>
      <x:c r="AF20" s="139" t="str">
        <x:v>OPTIONAL_EXTENSION</x:v>
      </x:c>
    </x:row>
    <x:row r="21" ht="72" customHeight="1">
      <x:c r="A21" s="24" t="str">
        <x:v>020</x:v>
      </x:c>
      <x:c r="B21" s="26" t="str">
        <x:v>B020-020</x:v>
      </x:c>
      <x:c r="C21" s="22" t="n">
        <x:v>1</x:v>
      </x:c>
      <x:c r="D21" s="22" t="str">
        <x:v>1/1</x:v>
      </x:c>
      <x:c r="E21" s="26" t="str">
        <x:v>EP01-S02</x:v>
      </x:c>
      <x:c r="F21" s="20" t="str">
        <x:v>2절 미끄러진 것</x:v>
      </x:c>
      <x:c r="G21" s="20" t="str">
        <x:v>ECU 무채색</x:v>
      </x:c>
      <x:c r="H21" s="22" t="str">
        <x:v>🤫</x:v>
      </x:c>
      <x:c r="I21" s="24" t="str">
        <x:v>02-1-1</x:v>
      </x:c>
      <x:c r="J21" s="20" t="str">
        <x:v>셔터 근접판</x:v>
      </x:c>
      <x:c r="K21" s="16" t="str">
        <x:v>맞잡은 두 손. 작은 손, 손가락이 짧고 손톱 밑이 까맣다</x:v>
      </x:c>
      <x:c r="L21" s="16" t="str">
        <x:v>맞잡은 두 손. 작은 손, 손가락이 짧고 손톱 밑이 까맣다</x:v>
      </x:c>
      <x:c r="M21" s="16" t="str"/>
      <x:c r="N21" s="16" t="str"/>
      <x:c r="O21" s="16" t="str">
        <x:v>330px · 여백 좁</x:v>
      </x:c>
      <x:c r="P21" s="16" t="str">
        <x:v>MONOCHROME. Two hands clasped. One is small with short fingers and dirt under the nails. No faces.</x:v>
      </x:c>
      <x:c r="Q21" s="16" t="str">
        <x:v>TRAUMA_MEMORY</x:v>
      </x:c>
      <x:c r="R21" s="16" t="str">
        <x:v>SILENT_ACTING</x:v>
      </x:c>
      <x:c r="S21" s="16" t="str">
        <x:v>놓친 손의 기억으로 아인의 행동 동기를 감각적으로 체험</x:v>
      </x:c>
      <x:c r="T21" s="16" t="str">
        <x:v>침묵한 반응의 이유를 후발 정보로 다시 읽음 / 외전 「셔터」 이후 손의 주체와 책임이 달라 보임</x:v>
      </x:c>
      <x:c r="U21" s="16" t="str">
        <x:v>손 / 놓침 / 책임</x:v>
      </x:c>
      <x:c r="V21" s="16" t="str">
        <x:v>비조작 기억 컷신; QTE·성공 판정 금지</x:v>
      </x:c>
      <x:c r="W21" s="16" t="str">
        <x:v>EXPANSION: 외전 「셔터」</x:v>
      </x:c>
      <x:c r="X21" s="22" t="str">
        <x:v>EXPANSION</x:v>
      </x:c>
      <x:c r="Y21" s="16" t="str">
        <x:v>완전 무채색 / 백색 과노출 / 대사 금지 또는 응답 없는 침묵 유지 / GLOBAL-VIS-01</x:v>
      </x:c>
      <x:c r="Z21" s="22" t="str">
        <x:v>SOURCE</x:v>
      </x:c>
      <x:c r="AA21" s="22"/>
      <x:c r="AB21" s="16"/>
      <x:c r="AC21" s="16" t="str">
        <x:v>EP01_대본_전량_001-282(2).md</x:v>
      </x:c>
      <x:c r="AD21" s="22" t="n">
        <x:v>299</x:v>
      </x:c>
      <x:c r="AE21" s="139" t="str">
        <x:v>PRIVATE_TRUTH</x:v>
      </x:c>
      <x:c r="AF21" s="139" t="str">
        <x:v>OPTIONAL_EXTENSION</x:v>
      </x:c>
    </x:row>
    <x:row r="22" ht="72" customHeight="1">
      <x:c r="A22" s="24" t="str">
        <x:v>021</x:v>
      </x:c>
      <x:c r="B22" s="26" t="str">
        <x:v>B021-021</x:v>
      </x:c>
      <x:c r="C22" s="22" t="n">
        <x:v>1</x:v>
      </x:c>
      <x:c r="D22" s="22" t="str">
        <x:v>1/1</x:v>
      </x:c>
      <x:c r="E22" s="26" t="str">
        <x:v>EP01-S02</x:v>
      </x:c>
      <x:c r="F22" s="20" t="str">
        <x:v>2절 미끄러진 것</x:v>
      </x:c>
      <x:c r="G22" s="20" t="str">
        <x:v>ECU 무채색</x:v>
      </x:c>
      <x:c r="H22" s="22" t="str">
        <x:v>🤫</x:v>
      </x:c>
      <x:c r="I22" s="24" t="str">
        <x:v>02-1-1</x:v>
      </x:c>
      <x:c r="J22" s="20" t="str">
        <x:v>셔터 근접판</x:v>
      </x:c>
      <x:c r="K22" s="16" t="str">
        <x:v>아인의 손아귀. 힘이 들어가 있다</x:v>
      </x:c>
      <x:c r="L22" s="16" t="str">
        <x:v>아인의 손아귀. 힘이 들어가 있다</x:v>
      </x:c>
      <x:c r="M22" s="16" t="str"/>
      <x:c r="N22" s="16" t="str"/>
      <x:c r="O22" s="16" t="str">
        <x:v>330px · 여백 좁</x:v>
      </x:c>
      <x:c r="P22" s="16" t="str">
        <x:v>MONOCHROME. A grip tightening on a smaller hand.</x:v>
      </x:c>
      <x:c r="Q22" s="16" t="str">
        <x:v>TRAUMA_MEMORY</x:v>
      </x:c>
      <x:c r="R22" s="16" t="str">
        <x:v>SILENT_ACTING</x:v>
      </x:c>
      <x:c r="S22" s="16" t="str">
        <x:v>놓친 손의 기억으로 아인의 행동 동기를 감각적으로 체험</x:v>
      </x:c>
      <x:c r="T22" s="16" t="str">
        <x:v>침묵한 반응의 이유를 후발 정보로 다시 읽음 / 외전 「셔터」 이후 손의 주체와 책임이 달라 보임</x:v>
      </x:c>
      <x:c r="U22" s="16" t="str">
        <x:v>손 / 놓침 / 책임</x:v>
      </x:c>
      <x:c r="V22" s="16" t="str">
        <x:v>비조작 기억 컷신; QTE·성공 판정 금지</x:v>
      </x:c>
      <x:c r="W22" s="16" t="str">
        <x:v>EXPANSION: 외전 「셔터」</x:v>
      </x:c>
      <x:c r="X22" s="22" t="str">
        <x:v>EXPANSION</x:v>
      </x:c>
      <x:c r="Y22" s="16" t="str">
        <x:v>완전 무채색 / 백색 과노출 / 대사 금지 또는 응답 없는 침묵 유지 / 아인 왼쪽 견갑·오른쪽 건틀릿 좌우 고정 / GLOBAL-VIS-01</x:v>
      </x:c>
      <x:c r="Z22" s="22" t="str">
        <x:v>SOURCE</x:v>
      </x:c>
      <x:c r="AA22" s="22"/>
      <x:c r="AB22" s="16"/>
      <x:c r="AC22" s="16" t="str">
        <x:v>EP01_대본_전량_001-282(2).md</x:v>
      </x:c>
      <x:c r="AD22" s="22" t="n">
        <x:v>311</x:v>
      </x:c>
      <x:c r="AE22" s="139" t="str">
        <x:v>PRIVATE_TRUTH</x:v>
      </x:c>
      <x:c r="AF22" s="139" t="str">
        <x:v>OPTIONAL_EXTENSION</x:v>
      </x:c>
    </x:row>
    <x:row r="23" ht="72" customHeight="1">
      <x:c r="A23" s="24" t="str">
        <x:v>022</x:v>
      </x:c>
      <x:c r="B23" s="26" t="str">
        <x:v>B022-022</x:v>
      </x:c>
      <x:c r="C23" s="22" t="n">
        <x:v>1</x:v>
      </x:c>
      <x:c r="D23" s="22" t="str">
        <x:v>1/1</x:v>
      </x:c>
      <x:c r="E23" s="26" t="str">
        <x:v>EP01-S02</x:v>
      </x:c>
      <x:c r="F23" s="20" t="str">
        <x:v>2절 미끄러진 것</x:v>
      </x:c>
      <x:c r="G23" s="20" t="str">
        <x:v>인서트 무채색</x:v>
      </x:c>
      <x:c r="H23" s="22" t="str"/>
      <x:c r="I23" s="24" t="str">
        <x:v>02-1</x:v>
      </x:c>
      <x:c r="J23" s="20" t="str">
        <x:v>-c 틈 9%</x:v>
      </x:c>
      <x:c r="K23" s="16" t="str">
        <x:v>틈이 더 좁아졌다</x:v>
      </x:c>
      <x:c r="L23" s="16" t="str">
        <x:v>틈이 더 좁아졌다</x:v>
      </x:c>
      <x:c r="M23" s="16" t="str"/>
      <x:c r="N23" s="16" t="str">
        <x:v>끼이—</x:v>
      </x:c>
      <x:c r="O23" s="16" t="str">
        <x:v>330px · 여백 좁</x:v>
      </x:c>
      <x:c r="P23" s="16" t="str">
        <x:v>MONOCHROME. The gap narrower still.</x:v>
      </x:c>
      <x:c r="Q23" s="16" t="str">
        <x:v>TRAUMA_MEMORY</x:v>
      </x:c>
      <x:c r="R23" s="16" t="str"/>
      <x:c r="S23" s="16" t="str">
        <x:v>놓친 손의 기억으로 아인의 행동 동기를 감각적으로 체험</x:v>
      </x:c>
      <x:c r="T23" s="16" t="str">
        <x:v>외전 「셔터」 이후 손의 주체와 책임이 달라 보임</x:v>
      </x:c>
      <x:c r="U23" s="16" t="str">
        <x:v>기억 / 책임 / 놓침</x:v>
      </x:c>
      <x:c r="V23" s="16" t="str">
        <x:v>비조작 기억 컷신; QTE·성공 판정 금지</x:v>
      </x:c>
      <x:c r="W23" s="16" t="str">
        <x:v>EXPANSION: 외전 「셔터」</x:v>
      </x:c>
      <x:c r="X23" s="22" t="str">
        <x:v>EXPANSION</x:v>
      </x:c>
      <x:c r="Y23" s="16" t="str">
        <x:v>완전 무채색 / 백색 과노출 / GLOBAL-VIS-01</x:v>
      </x:c>
      <x:c r="Z23" s="22" t="str">
        <x:v>SOURCE</x:v>
      </x:c>
      <x:c r="AA23" s="22"/>
      <x:c r="AB23" s="16"/>
      <x:c r="AC23" s="16" t="str">
        <x:v>EP01_대본_전량_001-282(2).md</x:v>
      </x:c>
      <x:c r="AD23" s="22" t="n">
        <x:v>323</x:v>
      </x:c>
      <x:c r="AE23" s="139" t="str">
        <x:v>PRIVATE_TRUTH</x:v>
      </x:c>
      <x:c r="AF23" s="139" t="str">
        <x:v>OPTIONAL_EXTENSION</x:v>
      </x:c>
    </x:row>
    <x:row r="24" ht="72" customHeight="1">
      <x:c r="A24" s="24" t="str">
        <x:v>023</x:v>
      </x:c>
      <x:c r="B24" s="26" t="str">
        <x:v>B023-023</x:v>
      </x:c>
      <x:c r="C24" s="22" t="n">
        <x:v>1</x:v>
      </x:c>
      <x:c r="D24" s="22" t="str">
        <x:v>1/1</x:v>
      </x:c>
      <x:c r="E24" s="26" t="str">
        <x:v>EP01-S02</x:v>
      </x:c>
      <x:c r="F24" s="20" t="str">
        <x:v>2절 미끄러진 것</x:v>
      </x:c>
      <x:c r="G24" s="20" t="str">
        <x:v>ECU 무채색</x:v>
      </x:c>
      <x:c r="H24" s="22" t="str">
        <x:v>🤫</x:v>
      </x:c>
      <x:c r="I24" s="24" t="str">
        <x:v>02-1-1</x:v>
      </x:c>
      <x:c r="J24" s="20" t="str">
        <x:v>셔터 근접판</x:v>
      </x:c>
      <x:c r="K24" s="16" t="str">
        <x:v>아인의 손아귀에서 힘이 빠진다</x:v>
      </x:c>
      <x:c r="L24" s="16" t="str">
        <x:v>아인의 손아귀에서 힘이 빠진다</x:v>
      </x:c>
      <x:c r="M24" s="16" t="str"/>
      <x:c r="N24" s="16" t="str"/>
      <x:c r="O24" s="16" t="str">
        <x:v>330px · 여백 좁</x:v>
      </x:c>
      <x:c r="P24" s="16" t="str">
        <x:v>MONOCHROME. The grip loosening.</x:v>
      </x:c>
      <x:c r="Q24" s="16" t="str">
        <x:v>TRAUMA_MEMORY</x:v>
      </x:c>
      <x:c r="R24" s="16" t="str">
        <x:v>SILENT_ACTING</x:v>
      </x:c>
      <x:c r="S24" s="16" t="str">
        <x:v>놓친 손의 기억으로 아인의 행동 동기를 감각적으로 체험</x:v>
      </x:c>
      <x:c r="T24" s="16" t="str">
        <x:v>침묵한 반응의 이유를 후발 정보로 다시 읽음 / 외전 「셔터」 이후 손의 주체와 책임이 달라 보임</x:v>
      </x:c>
      <x:c r="U24" s="16" t="str">
        <x:v>손 / 놓침 / 책임</x:v>
      </x:c>
      <x:c r="V24" s="16" t="str">
        <x:v>비조작 기억 컷신; QTE·성공 판정 금지</x:v>
      </x:c>
      <x:c r="W24" s="16" t="str">
        <x:v>EXPANSION: 외전 「셔터」</x:v>
      </x:c>
      <x:c r="X24" s="22" t="str">
        <x:v>EXPANSION</x:v>
      </x:c>
      <x:c r="Y24" s="16" t="str">
        <x:v>완전 무채색 / 백색 과노출 / 대사 금지 또는 응답 없는 침묵 유지 / 아인 왼쪽 견갑·오른쪽 건틀릿 좌우 고정 / GLOBAL-VIS-01</x:v>
      </x:c>
      <x:c r="Z24" s="22" t="str">
        <x:v>SOURCE</x:v>
      </x:c>
      <x:c r="AA24" s="22"/>
      <x:c r="AB24" s="16"/>
      <x:c r="AC24" s="16" t="str">
        <x:v>EP01_대본_전량_001-282(2).md</x:v>
      </x:c>
      <x:c r="AD24" s="22" t="n">
        <x:v>336</x:v>
      </x:c>
      <x:c r="AE24" s="139" t="str">
        <x:v>PRIVATE_TRUTH</x:v>
      </x:c>
      <x:c r="AF24" s="139" t="str">
        <x:v>OPTIONAL_EXTENSION</x:v>
      </x:c>
    </x:row>
    <x:row r="25" ht="72" customHeight="1">
      <x:c r="A25" s="24" t="str">
        <x:v>024</x:v>
      </x:c>
      <x:c r="B25" s="26" t="str">
        <x:v>B024-024</x:v>
      </x:c>
      <x:c r="C25" s="22" t="n">
        <x:v>1</x:v>
      </x:c>
      <x:c r="D25" s="22" t="str">
        <x:v>1/1</x:v>
      </x:c>
      <x:c r="E25" s="26" t="str">
        <x:v>EP01-S02</x:v>
      </x:c>
      <x:c r="F25" s="20" t="str">
        <x:v>2절 미끄러진 것</x:v>
      </x:c>
      <x:c r="G25" s="20" t="str">
        <x:v>ECU 무채색</x:v>
      </x:c>
      <x:c r="H25" s="22" t="str">
        <x:v>🤫</x:v>
      </x:c>
      <x:c r="I25" s="24" t="str">
        <x:v>02-1-1</x:v>
      </x:c>
      <x:c r="J25" s="20" t="str">
        <x:v>셔터 근접판</x:v>
      </x:c>
      <x:c r="K25" s="16" t="str">
        <x:v>다른 쪽으로 뻗는 왼손이 프레임 끝에 걸린다</x:v>
      </x:c>
      <x:c r="L25" s="16" t="str">
        <x:v>다른 쪽으로 뻗는 왼손이 프레임 끝에 걸린다</x:v>
      </x:c>
      <x:c r="M25" s="16" t="str"/>
      <x:c r="N25" s="16" t="str"/>
      <x:c r="O25" s="16" t="str">
        <x:v>330px · 여백 좁</x:v>
      </x:c>
      <x:c r="P25" s="16" t="str">
        <x:v>MONOCHROME. A left hand reaching toward the frame edge.</x:v>
      </x:c>
      <x:c r="Q25" s="16" t="str">
        <x:v>TRAUMA_MEMORY</x:v>
      </x:c>
      <x:c r="R25" s="16" t="str">
        <x:v>SILENT_ACTING</x:v>
      </x:c>
      <x:c r="S25" s="16" t="str">
        <x:v>놓친 손의 기억으로 아인의 행동 동기를 감각적으로 체험</x:v>
      </x:c>
      <x:c r="T25" s="16" t="str">
        <x:v>침묵한 반응의 이유를 후발 정보로 다시 읽음 / 외전 「셔터」 이후 손의 주체와 책임이 달라 보임</x:v>
      </x:c>
      <x:c r="U25" s="16" t="str">
        <x:v>손 / 놓침 / 책임</x:v>
      </x:c>
      <x:c r="V25" s="16" t="str">
        <x:v>비조작 기억 컷신; QTE·성공 판정 금지</x:v>
      </x:c>
      <x:c r="W25" s="16" t="str">
        <x:v>EXPANSION: 외전 「셔터」</x:v>
      </x:c>
      <x:c r="X25" s="22" t="str">
        <x:v>EXPANSION</x:v>
      </x:c>
      <x:c r="Y25" s="16" t="str">
        <x:v>완전 무채색 / 백색 과노출 / 대사 금지 또는 응답 없는 침묵 유지 / GLOBAL-VIS-01</x:v>
      </x:c>
      <x:c r="Z25" s="22" t="str">
        <x:v>SOURCE</x:v>
      </x:c>
      <x:c r="AA25" s="22"/>
      <x:c r="AB25" s="16"/>
      <x:c r="AC25" s="16" t="str">
        <x:v>EP01_대본_전량_001-282(2).md</x:v>
      </x:c>
      <x:c r="AD25" s="22" t="n">
        <x:v>348</x:v>
      </x:c>
      <x:c r="AE25" s="139" t="str">
        <x:v>PRIVATE_TRUTH</x:v>
      </x:c>
      <x:c r="AF25" s="139" t="str">
        <x:v>OPTIONAL_EXTENSION</x:v>
      </x:c>
    </x:row>
    <x:row r="26" ht="72" customHeight="1">
      <x:c r="A26" s="24" t="str">
        <x:v>025</x:v>
      </x:c>
      <x:c r="B26" s="26" t="str">
        <x:v>B025-025</x:v>
      </x:c>
      <x:c r="C26" s="22" t="n">
        <x:v>1</x:v>
      </x:c>
      <x:c r="D26" s="22" t="str">
        <x:v>1/1</x:v>
      </x:c>
      <x:c r="E26" s="26" t="str">
        <x:v>EP01-S02</x:v>
      </x:c>
      <x:c r="F26" s="20" t="str">
        <x:v>2절 미끄러진 것</x:v>
      </x:c>
      <x:c r="G26" s="20" t="str">
        <x:v>ECU 무채색</x:v>
      </x:c>
      <x:c r="H26" s="22" t="str">
        <x:v>🤫🔴</x:v>
      </x:c>
      <x:c r="I26" s="24" t="str">
        <x:v>02-1-1</x:v>
      </x:c>
      <x:c r="J26" s="20" t="str">
        <x:v>셔터 근접판</x:v>
      </x:c>
      <x:c r="K26" s="16" t="str">
        <x:v>작은 손이 미끄러진다</x:v>
      </x:c>
      <x:c r="L26" s="16" t="str">
        <x:v>작은 손이 미끄러진다</x:v>
      </x:c>
      <x:c r="M26" s="16" t="str"/>
      <x:c r="N26" s="16" t="str"/>
      <x:c r="O26" s="16" t="str">
        <x:v>400px · 여백 중</x:v>
      </x:c>
      <x:c r="P26" s="16" t="str">
        <x:v>MONOCHROME. A small hand slipping out of a grip. ABSOLUTELY NO FACE. Hands only.</x:v>
      </x:c>
      <x:c r="Q26" s="16" t="str">
        <x:v>TRAUMA_MEMORY</x:v>
      </x:c>
      <x:c r="R26" s="16" t="str">
        <x:v>SILENT_ACTING / NONNEGOTIABLE</x:v>
      </x:c>
      <x:c r="S26" s="16" t="str">
        <x:v>놓친 손의 기억으로 아인의 행동 동기를 감각적으로 체험</x:v>
      </x:c>
      <x:c r="T26" s="16" t="str">
        <x:v>침묵한 반응의 이유를 후발 정보로 다시 읽음 / 외전 「셔터」 이후 손의 주체와 책임이 달라 보임</x:v>
      </x:c>
      <x:c r="U26" s="16" t="str">
        <x:v>손 / 놓침 / 책임</x:v>
      </x:c>
      <x:c r="V26" s="16" t="str">
        <x:v>비조작 기억 컷신; QTE·성공 판정 금지</x:v>
      </x:c>
      <x:c r="W26" s="16" t="str">
        <x:v>EXPANSION: 외전 「셔터」</x:v>
      </x:c>
      <x:c r="X26" s="22" t="str">
        <x:v>EXPANSION</x:v>
      </x:c>
      <x:c r="Y26" s="16" t="str">
        <x:v>완전 무채색 / 백색 과노출 / 얼굴 절대 금지 / 손만 / 대사 금지 / 대사 금지 또는 응답 없는 침묵 유지 / 필수 정보·좌우·거리 판독성 우선 / GLOBAL-VIS-01</x:v>
      </x:c>
      <x:c r="Z26" s="22" t="str">
        <x:v>SOURCE</x:v>
      </x:c>
      <x:c r="AA26" s="22"/>
      <x:c r="AB26" s="16"/>
      <x:c r="AC26" s="16" t="str">
        <x:v>EP01_대본_전량_001-282(2).md</x:v>
      </x:c>
      <x:c r="AD26" s="22" t="n">
        <x:v>360</x:v>
      </x:c>
      <x:c r="AE26" s="139" t="str">
        <x:v>PRIVATE_TRUTH</x:v>
      </x:c>
      <x:c r="AF26" s="139" t="str">
        <x:v>OPTIONAL_EXTENSION</x:v>
      </x:c>
    </x:row>
    <x:row r="27" ht="72" customHeight="1">
      <x:c r="A27" s="24" t="str">
        <x:v>026</x:v>
      </x:c>
      <x:c r="B27" s="26" t="str">
        <x:v>B026-026</x:v>
      </x:c>
      <x:c r="C27" s="22" t="n">
        <x:v>1</x:v>
      </x:c>
      <x:c r="D27" s="22" t="str">
        <x:v>1/1</x:v>
      </x:c>
      <x:c r="E27" s="26" t="str">
        <x:v>EP01-S02</x:v>
      </x:c>
      <x:c r="F27" s="20" t="str">
        <x:v>2절 미끄러진 것</x:v>
      </x:c>
      <x:c r="G27" s="20" t="str">
        <x:v>인서트 무채색</x:v>
      </x:c>
      <x:c r="H27" s="22" t="str"/>
      <x:c r="I27" s="24" t="str">
        <x:v>02-1</x:v>
      </x:c>
      <x:c r="J27" s="20" t="str">
        <x:v>-d 틈 4%</x:v>
      </x:c>
      <x:c r="K27" s="16" t="str">
        <x:v>손끝이 프레임 밖으로 사라진다</x:v>
      </x:c>
      <x:c r="L27" s="16" t="str">
        <x:v>손끝이 프레임 밖으로 사라진다</x:v>
      </x:c>
      <x:c r="M27" s="16" t="str"/>
      <x:c r="N27" s="16" t="str"/>
      <x:c r="O27" s="16" t="str">
        <x:v>360px · 여백 좁</x:v>
      </x:c>
      <x:c r="P27" s="16" t="str">
        <x:v>MONOCHROME. Fingertips vanishing past the frame edge. Only a 4% gap left under the shutter.</x:v>
      </x:c>
      <x:c r="Q27" s="16" t="str">
        <x:v>TRAUMA_MEMORY</x:v>
      </x:c>
      <x:c r="R27" s="16" t="str"/>
      <x:c r="S27" s="16" t="str">
        <x:v>놓친 손의 기억으로 아인의 행동 동기를 감각적으로 체험</x:v>
      </x:c>
      <x:c r="T27" s="16" t="str">
        <x:v>외전 「셔터」 이후 손의 주체와 책임이 달라 보임</x:v>
      </x:c>
      <x:c r="U27" s="16" t="str">
        <x:v>손 / 놓침 / 책임</x:v>
      </x:c>
      <x:c r="V27" s="16" t="str">
        <x:v>비조작 기억 컷신; QTE·성공 판정 금지</x:v>
      </x:c>
      <x:c r="W27" s="16" t="str">
        <x:v>EXPANSION: 외전 「셔터」</x:v>
      </x:c>
      <x:c r="X27" s="22" t="str">
        <x:v>EXPANSION</x:v>
      </x:c>
      <x:c r="Y27" s="16" t="str">
        <x:v>완전 무채색 / 백색 과노출 / GLOBAL-VIS-01</x:v>
      </x:c>
      <x:c r="Z27" s="22" t="str">
        <x:v>SOURCE</x:v>
      </x:c>
      <x:c r="AA27" s="22"/>
      <x:c r="AB27" s="16"/>
      <x:c r="AC27" s="16" t="str">
        <x:v>EP01_대본_전량_001-282(2).md</x:v>
      </x:c>
      <x:c r="AD27" s="22" t="n">
        <x:v>372</x:v>
      </x:c>
      <x:c r="AE27" s="139" t="str">
        <x:v>PRIVATE_TRUTH</x:v>
      </x:c>
      <x:c r="AF27" s="139" t="str">
        <x:v>OPTIONAL_EXTENSION</x:v>
      </x:c>
    </x:row>
    <x:row r="28" ht="72" customHeight="1">
      <x:c r="A28" s="24" t="str">
        <x:v>027</x:v>
      </x:c>
      <x:c r="B28" s="26" t="str">
        <x:v>B027-027</x:v>
      </x:c>
      <x:c r="C28" s="22" t="n">
        <x:v>1</x:v>
      </x:c>
      <x:c r="D28" s="22" t="str">
        <x:v>1/1</x:v>
      </x:c>
      <x:c r="E28" s="26" t="str">
        <x:v>EP01-S02</x:v>
      </x:c>
      <x:c r="F28" s="20" t="str">
        <x:v>2절 미끄러진 것</x:v>
      </x:c>
      <x:c r="G28" s="20" t="str">
        <x:v>인서트 무채색</x:v>
      </x:c>
      <x:c r="H28" s="22" t="str">
        <x:v>🤫</x:v>
      </x:c>
      <x:c r="I28" s="24" t="str">
        <x:v>02-1</x:v>
      </x:c>
      <x:c r="J28" s="20" t="str">
        <x:v>-e 틈+발목</x:v>
      </x:c>
      <x:c r="K28" s="16" t="str">
        <x:v>좁아지는 틈, 그 너머 실루엣</x:v>
      </x:c>
      <x:c r="L28" s="16" t="str">
        <x:v>좁아지는 틈, 그 너머 실루엣</x:v>
      </x:c>
      <x:c r="M28" s="16" t="str"/>
      <x:c r="N28" s="16" t="str"/>
      <x:c r="O28" s="16" t="str">
        <x:v>420px · 여백 극</x:v>
      </x:c>
      <x:c r="P28" s="16" t="str">
        <x:v>MONOCHROME. Through a hairline gap, only a pair of small feet and ankles in the light beyond. Everything above hidden by the shutter.</x:v>
      </x:c>
      <x:c r="Q28" s="16" t="str">
        <x:v>TRAUMA_MEMORY</x:v>
      </x:c>
      <x:c r="R28" s="16" t="str">
        <x:v>SILENT_ACTING</x:v>
      </x:c>
      <x:c r="S28" s="16" t="str">
        <x:v>놓친 손의 기억으로 아인의 행동 동기를 감각적으로 체험</x:v>
      </x:c>
      <x:c r="T28" s="16" t="str">
        <x:v>침묵한 반응의 이유를 후발 정보로 다시 읽음 / 외전 「셔터」 이후 손의 주체와 책임이 달라 보임</x:v>
      </x:c>
      <x:c r="U28" s="16" t="str">
        <x:v>기억 / 책임 / 놓침</x:v>
      </x:c>
      <x:c r="V28" s="16" t="str">
        <x:v>비조작 기억 컷신; QTE·성공 판정 금지</x:v>
      </x:c>
      <x:c r="W28" s="16" t="str">
        <x:v>EXPANSION: 외전 「셔터」</x:v>
      </x:c>
      <x:c r="X28" s="22" t="str">
        <x:v>EXPANSION</x:v>
      </x:c>
      <x:c r="Y28" s="16" t="str">
        <x:v>완전 무채색 / 백색 과노출 / 대사 금지 또는 응답 없는 침묵 유지 / GLOBAL-VIS-01</x:v>
      </x:c>
      <x:c r="Z28" s="22" t="str">
        <x:v>SOURCE</x:v>
      </x:c>
      <x:c r="AA28" s="22"/>
      <x:c r="AB28" s="16"/>
      <x:c r="AC28" s="16" t="str">
        <x:v>EP01_대본_전량_001-282(2).md</x:v>
      </x:c>
      <x:c r="AD28" s="22" t="n">
        <x:v>384</x:v>
      </x:c>
      <x:c r="AE28" s="139" t="str">
        <x:v>PRIVATE_TRUTH</x:v>
      </x:c>
      <x:c r="AF28" s="139" t="str">
        <x:v>OPTIONAL_EXTENSION</x:v>
      </x:c>
    </x:row>
    <x:row r="29" ht="72" customHeight="1">
      <x:c r="A29" s="24" t="str">
        <x:v>028</x:v>
      </x:c>
      <x:c r="B29" s="26" t="str">
        <x:v>B028-028</x:v>
      </x:c>
      <x:c r="C29" s="22" t="n">
        <x:v>1</x:v>
      </x:c>
      <x:c r="D29" s="22" t="str">
        <x:v>1/1</x:v>
      </x:c>
      <x:c r="E29" s="26" t="str">
        <x:v>EP01-S02</x:v>
      </x:c>
      <x:c r="F29" s="20" t="str">
        <x:v>2절 미끄러진 것</x:v>
      </x:c>
      <x:c r="G29" s="20" t="str">
        <x:v>암전</x:v>
      </x:c>
      <x:c r="H29" s="22" t="str"/>
      <x:c r="I29" s="24" t="str">
        <x:v>—</x:v>
      </x:c>
      <x:c r="J29" s="20" t="str">
        <x:v>배경 없음</x:v>
      </x:c>
      <x:c r="K29" s="16" t="str">
        <x:v>검은 화면</x:v>
      </x:c>
      <x:c r="L29" s="16" t="str">
        <x:v>검은 화면</x:v>
      </x:c>
      <x:c r="M29" s="16" t="str"/>
      <x:c r="N29" s="16" t="str">
        <x:v>쿵.</x:v>
      </x:c>
      <x:c r="O29" s="16" t="str">
        <x:v>340px · 여백 극</x:v>
      </x:c>
      <x:c r="P29" s="16" t="str">
        <x:v>Pure black frame. Nothing else.</x:v>
      </x:c>
      <x:c r="Q29" s="16" t="str">
        <x:v>TRAUMA_MEMORY</x:v>
      </x:c>
      <x:c r="R29" s="16" t="str"/>
      <x:c r="S29" s="16" t="str">
        <x:v>놓친 손의 기억으로 아인의 행동 동기를 감각적으로 체험</x:v>
      </x:c>
      <x:c r="T29" s="16" t="str">
        <x:v>외전 「셔터」 이후 손의 주체와 책임이 달라 보임</x:v>
      </x:c>
      <x:c r="U29" s="16" t="str">
        <x:v>기억 / 책임 / 놓침</x:v>
      </x:c>
      <x:c r="V29" s="16" t="str">
        <x:v>비조작 기억 컷신; QTE·성공 판정 금지</x:v>
      </x:c>
      <x:c r="W29" s="16" t="str">
        <x:v>EXPANSION: 외전 「셔터」</x:v>
      </x:c>
      <x:c r="X29" s="22" t="str">
        <x:v>EXPANSION</x:v>
      </x:c>
      <x:c r="Y29" s="16" t="str">
        <x:v>완전 무채색 / 백색 과노출 / GLOBAL-VIS-01</x:v>
      </x:c>
      <x:c r="Z29" s="22" t="str">
        <x:v>SOURCE</x:v>
      </x:c>
      <x:c r="AA29" s="22"/>
      <x:c r="AB29" s="16"/>
      <x:c r="AC29" s="16" t="str">
        <x:v>EP01_대본_전량_001-282(2).md</x:v>
      </x:c>
      <x:c r="AD29" s="22" t="n">
        <x:v>396</x:v>
      </x:c>
      <x:c r="AE29" s="139" t="str">
        <x:v>PRIVATE_TRUTH</x:v>
      </x:c>
      <x:c r="AF29" s="139" t="str">
        <x:v>OPTIONAL_EXTENSION</x:v>
      </x:c>
    </x:row>
    <x:row r="30" ht="72" customHeight="1">
      <x:c r="A30" s="24" t="str">
        <x:v>029</x:v>
      </x:c>
      <x:c r="B30" s="26" t="str">
        <x:v>B029-029</x:v>
      </x:c>
      <x:c r="C30" s="22" t="n">
        <x:v>1</x:v>
      </x:c>
      <x:c r="D30" s="22" t="str">
        <x:v>1/1</x:v>
      </x:c>
      <x:c r="E30" s="26" t="str">
        <x:v>EP01-S02</x:v>
      </x:c>
      <x:c r="F30" s="20" t="str">
        <x:v>2절 미끄러진 것</x:v>
      </x:c>
      <x:c r="G30" s="20" t="str">
        <x:v>ECU 무채색</x:v>
      </x:c>
      <x:c r="H30" s="22" t="str"/>
      <x:c r="I30" s="24" t="str">
        <x:v>01-1-3</x:v>
      </x:c>
      <x:c r="J30" s="20" t="str">
        <x:v>옥상 근접판</x:v>
      </x:c>
      <x:c r="K30" s="16" t="str">
        <x:v>아인의 감은 눈. 아직 흰빛</x:v>
      </x:c>
      <x:c r="L30" s="16" t="str">
        <x:v>아인의 감은 눈. 아직 흰빛</x:v>
      </x:c>
      <x:c r="M30" s="16" t="str"/>
      <x:c r="N30" s="16" t="str"/>
      <x:c r="O30" s="16" t="str">
        <x:v>330px · 여백 중</x:v>
      </x:c>
      <x:c r="P30" s="16" t="str">
        <x:v>MONOCHROME. Extreme close on closed eyes, still washed in white light.</x:v>
      </x:c>
      <x:c r="Q30" s="16" t="str">
        <x:v>TRAUMA_MEMORY</x:v>
      </x:c>
      <x:c r="R30" s="16" t="str"/>
      <x:c r="S30" s="16" t="str">
        <x:v>놓친 손의 기억으로 아인의 행동 동기를 감각적으로 체험</x:v>
      </x:c>
      <x:c r="T30" s="16" t="str">
        <x:v>외전 「셔터」 이후 손의 주체와 책임이 달라 보임</x:v>
      </x:c>
      <x:c r="U30" s="16" t="str">
        <x:v>기억 / 책임 / 놓침</x:v>
      </x:c>
      <x:c r="V30" s="16" t="str">
        <x:v>비조작 기억 컷신; QTE·성공 판정 금지</x:v>
      </x:c>
      <x:c r="W30" s="16" t="str">
        <x:v>EXPANSION: 외전 「셔터」</x:v>
      </x:c>
      <x:c r="X30" s="22" t="str">
        <x:v>EXPANSION</x:v>
      </x:c>
      <x:c r="Y30" s="16" t="str">
        <x:v>완전 무채색 / 백색 과노출 / 아인 왼쪽 견갑·오른쪽 건틀릿 좌우 고정 / GLOBAL-VIS-01</x:v>
      </x:c>
      <x:c r="Z30" s="22" t="str">
        <x:v>SOURCE</x:v>
      </x:c>
      <x:c r="AA30" s="22"/>
      <x:c r="AB30" s="16"/>
      <x:c r="AC30" s="16" t="str">
        <x:v>EP01_대본_전량_001-282(2).md</x:v>
      </x:c>
      <x:c r="AD30" s="22" t="n">
        <x:v>409</x:v>
      </x:c>
      <x:c r="AE30" s="139" t="str">
        <x:v>PRIVATE_TRUTH</x:v>
      </x:c>
      <x:c r="AF30" s="139" t="str">
        <x:v>OPTIONAL_EXTENSION</x:v>
      </x:c>
    </x:row>
    <x:row r="31" ht="72" customHeight="1">
      <x:c r="A31" s="24" t="str">
        <x:v>030</x:v>
      </x:c>
      <x:c r="B31" s="26" t="str">
        <x:v>B030-030</x:v>
      </x:c>
      <x:c r="C31" s="22" t="n">
        <x:v>1</x:v>
      </x:c>
      <x:c r="D31" s="22" t="str">
        <x:v>1/1</x:v>
      </x:c>
      <x:c r="E31" s="26" t="str">
        <x:v>EP01-S02</x:v>
      </x:c>
      <x:c r="F31" s="20" t="str">
        <x:v>2절 미끄러진 것</x:v>
      </x:c>
      <x:c r="G31" s="20" t="str">
        <x:v>CU</x:v>
      </x:c>
      <x:c r="H31" s="22" t="str"/>
      <x:c r="I31" s="24" t="str">
        <x:v>01-1-3</x:v>
      </x:c>
      <x:c r="J31" s="20" t="str">
        <x:v>옥상 근접판</x:v>
      </x:c>
      <x:c r="K31" s="16" t="str">
        <x:v>눈을 뜬다. 색이 돌아온다. 보라와 주황이 한꺼번에</x:v>
      </x:c>
      <x:c r="L31" s="16" t="str">
        <x:v>눈을 뜬다. 색이 돌아온다. 보라와 주황이 한꺼번에</x:v>
      </x:c>
      <x:c r="M31" s="16" t="str"/>
      <x:c r="N31" s="16" t="str"/>
      <x:c r="O31" s="16" t="str">
        <x:v>560px · 여백 넓</x:v>
      </x:c>
      <x:c r="P31" s="16" t="str">
        <x:v>Color returns at once. A young woman opening her eyes. Violet and amber flood in.</x:v>
      </x:c>
      <x:c r="Q31" s="16" t="str">
        <x:v>TRAUMA_MEMORY</x:v>
      </x:c>
      <x:c r="R31" s="16" t="str"/>
      <x:c r="S31" s="16" t="str">
        <x:v>놓친 손의 기억으로 아인의 행동 동기를 감각적으로 체험</x:v>
      </x:c>
      <x:c r="T31" s="16" t="str">
        <x:v>외전 「셔터」 이후 손의 주체와 책임이 달라 보임</x:v>
      </x:c>
      <x:c r="U31" s="16" t="str">
        <x:v>각인 / 성장 대가 / 수거</x:v>
      </x:c>
      <x:c r="V31" s="16" t="str">
        <x:v>비조작 기억 컷신; QTE·성공 판정 금지</x:v>
      </x:c>
      <x:c r="W31" s="16" t="str">
        <x:v>EXPANSION: 외전 「셔터」</x:v>
      </x:c>
      <x:c r="X31" s="22" t="str">
        <x:v>EXPANSION</x:v>
      </x:c>
      <x:c r="Y31" s="16" t="str">
        <x:v>아인 왼쪽 견갑·오른쪽 건틀릿 좌우 고정 / GLOBAL-VIS-01</x:v>
      </x:c>
      <x:c r="Z31" s="22" t="str">
        <x:v>SOURCE</x:v>
      </x:c>
      <x:c r="AA31" s="22"/>
      <x:c r="AB31" s="16"/>
      <x:c r="AC31" s="16" t="str">
        <x:v>EP01_대본_전량_001-282(2).md</x:v>
      </x:c>
      <x:c r="AD31" s="22" t="n">
        <x:v>421</x:v>
      </x:c>
      <x:c r="AE31" s="139" t="str">
        <x:v>PRIVATE_TRUTH</x:v>
      </x:c>
      <x:c r="AF31" s="139" t="str">
        <x:v>OPTIONAL_EXTENSION</x:v>
      </x:c>
    </x:row>
    <x:row r="32" ht="72" customHeight="1">
      <x:c r="A32" s="24" t="str">
        <x:v>031</x:v>
      </x:c>
      <x:c r="B32" s="26" t="str">
        <x:v>B031-031</x:v>
      </x:c>
      <x:c r="C32" s="22" t="n">
        <x:v>1</x:v>
      </x:c>
      <x:c r="D32" s="22" t="str">
        <x:v>1/1</x:v>
      </x:c>
      <x:c r="E32" s="26" t="str">
        <x:v>EP01-S03</x:v>
      </x:c>
      <x:c r="F32" s="20" t="str">
        <x:v>3절 반보 뒤</x:v>
      </x:c>
      <x:c r="G32" s="20" t="str">
        <x:v>ECU</x:v>
      </x:c>
      <x:c r="H32" s="22" t="str"/>
      <x:c r="I32" s="24" t="str">
        <x:v>01-1-3</x:v>
      </x:c>
      <x:c r="J32" s="20" t="str">
        <x:v>옥상 근접판</x:v>
      </x:c>
      <x:c r="K32" s="16" t="str">
        <x:v>낫 자루를 쥔 손. 힘줄이 도드라진다</x:v>
      </x:c>
      <x:c r="L32" s="16" t="str">
        <x:v>낫 자루를 쥔 손. 힘줄이 도드라진다</x:v>
      </x:c>
      <x:c r="M32" s="16" t="str">
        <x:v>나레이션: 2년 동안 이 손으로 백 몇 마리를 끊었다.</x:v>
      </x:c>
      <x:c r="N32" s="16" t="str"/>
      <x:c r="O32" s="16" t="str">
        <x:v>360px · 여백 좁</x:v>
      </x:c>
      <x:c r="P32" s="16" t="str">
        <x:v>Extreme close on a hand gripping a scythe shaft, tendons standing out.</x:v>
      </x:c>
      <x:c r="Q32" s="16" t="str">
        <x:v>CHARACTER_MEMORY_BRIDGE</x:v>
      </x:c>
      <x:c r="R32" s="16" t="str"/>
      <x:c r="S32" s="16" t="str">
        <x:v>현재의 손과 과거의 빈자리를 연결</x:v>
      </x:c>
      <x:c r="T32" s="16" t="str">
        <x:v>후속 정보가 생기면 행동·배경의 의미를 재검토</x:v>
      </x:c>
      <x:c r="U32" s="16" t="str">
        <x:v>손 / 놓침 / 책임 / 거리</x:v>
      </x:c>
      <x:c r="V32" s="16" t="str">
        <x:v>손 클로즈업을 반복 입력 모티프로 사용</x:v>
      </x:c>
      <x:c r="W32" s="16"/>
      <x:c r="X32" s="22" t="str">
        <x:v>NONE</x:v>
      </x:c>
      <x:c r="Y32" s="16" t="str">
        <x:v>GLOBAL-VIS-01</x:v>
      </x:c>
      <x:c r="Z32" s="22" t="str">
        <x:v>SOURCE</x:v>
      </x:c>
      <x:c r="AA32" s="22"/>
      <x:c r="AB32" s="16"/>
      <x:c r="AC32" s="16" t="str">
        <x:v>EP01_대본_전량_001-282(2).md</x:v>
      </x:c>
      <x:c r="AD32" s="22" t="n">
        <x:v>439</x:v>
      </x:c>
      <x:c r="AE32" s="139" t="str">
        <x:v>NOT_APPLICABLE</x:v>
      </x:c>
      <x:c r="AF32" s="139" t="str">
        <x:v>NONE</x:v>
      </x:c>
    </x:row>
    <x:row r="33" ht="72" customHeight="1">
      <x:c r="A33" s="24" t="str">
        <x:v>032</x:v>
      </x:c>
      <x:c r="B33" s="26" t="str">
        <x:v>B032-032</x:v>
      </x:c>
      <x:c r="C33" s="22" t="n">
        <x:v>1</x:v>
      </x:c>
      <x:c r="D33" s="22" t="str">
        <x:v>1/1</x:v>
      </x:c>
      <x:c r="E33" s="26" t="str">
        <x:v>EP01-S03</x:v>
      </x:c>
      <x:c r="F33" s="20" t="str">
        <x:v>3절 반보 뒤</x:v>
      </x:c>
      <x:c r="G33" s="20" t="str">
        <x:v>세로 3단</x:v>
      </x:c>
      <x:c r="H33" s="22" t="str"/>
      <x:c r="I33" s="24" t="str">
        <x:v>01-1-3</x:v>
      </x:c>
      <x:c r="J33" s="20" t="str">
        <x:v>옥상 근접판</x:v>
      </x:c>
      <x:c r="K33" s="16" t="str">
        <x:v>위: 소형 감염체를 한 번에 끊는 잔상 3개 / 가운데: 낫을 내리는 아인 / 아래: 비어 있는 손바닥</x:v>
      </x:c>
      <x:c r="L33" s="16" t="str">
        <x:v>위: 소형 감염체를 한 번에 끊는 잔상 3개 / 가운데: 낫을 내리는 아인 / 아래: 비어 있는 손바닥</x:v>
      </x:c>
      <x:c r="M33" s="16" t="str">
        <x:v>나레이션: 전부 작은 것들이었다. 이길 수 있는 것만, / 안전한 거리에서, 한 번에. 큰 건 피했다.</x:v>
      </x:c>
      <x:c r="N33" s="16" t="str"/>
      <x:c r="O33" s="16" t="str">
        <x:v>760px · 여백 넓</x:v>
      </x:c>
      <x:c r="P33" s="16" t="str">
        <x:v>Three stacked panels: afterimages of three quick scythe cuts, a woman lowering the scythe, an empty open palm.</x:v>
      </x:c>
      <x:c r="Q33" s="16" t="str">
        <x:v>CHARACTER_MEMORY_BRIDGE</x:v>
      </x:c>
      <x:c r="R33" s="16" t="str"/>
      <x:c r="S33" s="16" t="str">
        <x:v>현재의 손과 과거의 빈자리를 연결</x:v>
      </x:c>
      <x:c r="T33" s="16" t="str">
        <x:v>후속 정보가 생기면 행동·배경의 의미를 재검토</x:v>
      </x:c>
      <x:c r="U33" s="16" t="str">
        <x:v>손 / 놓침 / 책임 / 거리</x:v>
      </x:c>
      <x:c r="V33" s="16" t="str">
        <x:v>손 클로즈업을 반복 입력 모티프로 사용</x:v>
      </x:c>
      <x:c r="W33" s="16"/>
      <x:c r="X33" s="22" t="str">
        <x:v>NONE</x:v>
      </x:c>
      <x:c r="Y33" s="16" t="str">
        <x:v>아인 왼쪽 견갑·오른쪽 건틀릿 좌우 고정 / GLOBAL-VIS-01</x:v>
      </x:c>
      <x:c r="Z33" s="22" t="str">
        <x:v>SOURCE</x:v>
      </x:c>
      <x:c r="AA33" s="22"/>
      <x:c r="AB33" s="16"/>
      <x:c r="AC33" s="16" t="str">
        <x:v>EP01_대본_전량_001-282(2).md</x:v>
      </x:c>
      <x:c r="AD33" s="22" t="n">
        <x:v>452</x:v>
      </x:c>
      <x:c r="AE33" s="139" t="str">
        <x:v>NOT_APPLICABLE</x:v>
      </x:c>
      <x:c r="AF33" s="139" t="str">
        <x:v>NONE</x:v>
      </x:c>
    </x:row>
    <x:row r="34" ht="72" customHeight="1">
      <x:c r="A34" s="24" t="str">
        <x:v>033</x:v>
      </x:c>
      <x:c r="B34" s="26" t="str">
        <x:v>B033-033</x:v>
      </x:c>
      <x:c r="C34" s="22" t="n">
        <x:v>1</x:v>
      </x:c>
      <x:c r="D34" s="22" t="str">
        <x:v>1/1</x:v>
      </x:c>
      <x:c r="E34" s="26" t="str">
        <x:v>EP01-S03</x:v>
      </x:c>
      <x:c r="F34" s="20" t="str">
        <x:v>3절 반보 뒤</x:v>
      </x:c>
      <x:c r="G34" s="20" t="str">
        <x:v>ECU</x:v>
      </x:c>
      <x:c r="H34" s="22" t="str">
        <x:v>⭐🤫</x:v>
      </x:c>
      <x:c r="I34" s="24" t="str">
        <x:v>01-1-3</x:v>
      </x:c>
      <x:c r="J34" s="20" t="str">
        <x:v>옥상 근접판</x:v>
      </x:c>
      <x:c r="K34" s="16" t="str">
        <x:v>비어 있는 손바닥. 아무것도 쥐고 있지 않다</x:v>
      </x:c>
      <x:c r="L34" s="16" t="str">
        <x:v>비어 있는 손바닥. 아무것도 쥐고 있지 않다</x:v>
      </x:c>
      <x:c r="M34" s="16" t="str">
        <x:v>나레이션: 그래도 그 손은 여전히 그날 그 크기만큼 비어 있었다.</x:v>
      </x:c>
      <x:c r="N34" s="16" t="str"/>
      <x:c r="O34" s="16" t="str">
        <x:v>420px · 여백 극</x:v>
      </x:c>
      <x:c r="P34" s="16" t="str">
        <x:v>Extreme close on an open empty palm. Holding nothing.</x:v>
      </x:c>
      <x:c r="Q34" s="16" t="str">
        <x:v>CHARACTER_MEMORY_BRIDGE</x:v>
      </x:c>
      <x:c r="R34" s="16" t="str">
        <x:v>SIGNATURE / SILENT_ACTING</x:v>
      </x:c>
      <x:c r="S34" s="16" t="str">
        <x:v>현재의 손과 과거의 빈자리를 연결</x:v>
      </x:c>
      <x:c r="T34" s="16" t="str">
        <x:v>침묵한 반응의 이유를 후발 정보로 다시 읽음 / 시그니처 상징의 기원</x:v>
      </x:c>
      <x:c r="U34" s="16" t="str">
        <x:v>손 / 놓침 / 책임</x:v>
      </x:c>
      <x:c r="V34" s="16" t="str">
        <x:v>손 클로즈업을 반복 입력 모티프로 사용</x:v>
      </x:c>
      <x:c r="W34" s="16"/>
      <x:c r="X34" s="22" t="str">
        <x:v>NONE</x:v>
      </x:c>
      <x:c r="Y34" s="16" t="str">
        <x:v>대사 금지 또는 응답 없는 침묵 유지 / GLOBAL-VIS-01</x:v>
      </x:c>
      <x:c r="Z34" s="22" t="str">
        <x:v>SOURCE</x:v>
      </x:c>
      <x:c r="AA34" s="22"/>
      <x:c r="AB34" s="16"/>
      <x:c r="AC34" s="16" t="str">
        <x:v>EP01_대본_전량_001-282(2).md</x:v>
      </x:c>
      <x:c r="AD34" s="22" t="n">
        <x:v>465</x:v>
      </x:c>
      <x:c r="AE34" s="139" t="str">
        <x:v>NOT_APPLICABLE</x:v>
      </x:c>
      <x:c r="AF34" s="139" t="str">
        <x:v>NONE</x:v>
      </x:c>
    </x:row>
    <x:row r="35" ht="72" customHeight="1">
      <x:c r="A35" s="24" t="str">
        <x:v>034</x:v>
      </x:c>
      <x:c r="B35" s="26" t="str">
        <x:v>B034-034</x:v>
      </x:c>
      <x:c r="C35" s="22" t="n">
        <x:v>1</x:v>
      </x:c>
      <x:c r="D35" s="22" t="str">
        <x:v>1/1</x:v>
      </x:c>
      <x:c r="E35" s="26" t="str">
        <x:v>EP01-S03</x:v>
      </x:c>
      <x:c r="F35" s="20" t="str">
        <x:v>3절 반보 뒤</x:v>
      </x:c>
      <x:c r="G35" s="20" t="str">
        <x:v>MS 로우</x:v>
      </x:c>
      <x:c r="H35" s="22" t="str"/>
      <x:c r="I35" s="24" t="str">
        <x:v>01-1-2</x:v>
      </x:c>
      <x:c r="J35" s="20" t="str">
        <x:v>바닥·난간·철문</x:v>
      </x:c>
      <x:c r="K35" s="16" t="str">
        <x:v>옥상 철문이 열린다. 역광 속 산 같은 실루엣</x:v>
      </x:c>
      <x:c r="L35" s="16" t="str">
        <x:v>옥상 철문이 열린다. 역광 속 산 같은 실루엣</x:v>
      </x:c>
      <x:c r="M35" s="16" t="str"/>
      <x:c r="N35" s="16" t="str">
        <x:v>끼이익—</x:v>
      </x:c>
      <x:c r="O35" s="16" t="str">
        <x:v>470px · 여백 좁</x:v>
      </x:c>
      <x:c r="P35" s="16" t="str">
        <x:v>Low angle. A rusted steel rooftop door opening. A mountain-like silhouette backlit in the doorway.</x:v>
      </x:c>
      <x:c r="Q35" s="16" t="str">
        <x:v>RELATION_INTRO</x:v>
      </x:c>
      <x:c r="R35" s="16" t="str"/>
      <x:c r="S35" s="16" t="str">
        <x:v>카인의 반보와 두 사람의 말하지 않는 관계를 소개</x:v>
      </x:c>
      <x:c r="T35" s="16" t="str">
        <x:v>후속 정보가 생기면 행동·배경의 의미를 재검토</x:v>
      </x:c>
      <x:c r="U35" s="16" t="str">
        <x:v>반보 / 보호 / 침묵</x:v>
      </x:c>
      <x:c r="V35" s="16" t="str">
        <x:v>동료 AI 기본 오프셋 ‘반보 뒤’와 보호 포지션</x:v>
      </x:c>
      <x:c r="W35" s="16"/>
      <x:c r="X35" s="22" t="str">
        <x:v>NONE</x:v>
      </x:c>
      <x:c r="Y35" s="16" t="str">
        <x:v>GLOBAL-VIS-01</x:v>
      </x:c>
      <x:c r="Z35" s="22" t="str">
        <x:v>SOURCE</x:v>
      </x:c>
      <x:c r="AA35" s="22"/>
      <x:c r="AB35" s="16"/>
      <x:c r="AC35" s="16" t="str">
        <x:v>EP01_대본_전량_001-282(2).md</x:v>
      </x:c>
      <x:c r="AD35" s="22" t="n">
        <x:v>478</x:v>
      </x:c>
      <x:c r="AE35" s="139" t="str">
        <x:v>NOT_APPLICABLE</x:v>
      </x:c>
      <x:c r="AF35" s="139" t="str">
        <x:v>NONE</x:v>
      </x:c>
    </x:row>
    <x:row r="36" ht="72" customHeight="1">
      <x:c r="A36" s="24" t="str">
        <x:v>035</x:v>
      </x:c>
      <x:c r="B36" s="26" t="str">
        <x:v>B035-035</x:v>
      </x:c>
      <x:c r="C36" s="22" t="n">
        <x:v>1</x:v>
      </x:c>
      <x:c r="D36" s="22" t="str">
        <x:v>1/1</x:v>
      </x:c>
      <x:c r="E36" s="26" t="str">
        <x:v>EP01-S03</x:v>
      </x:c>
      <x:c r="F36" s="20" t="str">
        <x:v>3절 반보 뒤</x:v>
      </x:c>
      <x:c r="G36" s="20" t="str">
        <x:v>MS</x:v>
      </x:c>
      <x:c r="H36" s="22" t="str"/>
      <x:c r="I36" s="24" t="str">
        <x:v>01-1-2</x:v>
      </x:c>
      <x:c r="J36" s="20" t="str">
        <x:v>바닥·난간·철문</x:v>
      </x:c>
      <x:c r="K36" s="16" t="str">
        <x:v>카인. 왼쪽 눈썹→턱 흉터, 얼굴 반이 역광에 먹혔다</x:v>
      </x:c>
      <x:c r="L36" s="16" t="str">
        <x:v>카인. 왼쪽 눈썹→턱 흉터, 얼굴 반이 역광에 먹혔다</x:v>
      </x:c>
      <x:c r="M36" s="16" t="str"/>
      <x:c r="N36" s="16" t="str"/>
      <x:c r="O36" s="16" t="str">
        <x:v>400px · 여백 좁</x:v>
      </x:c>
      <x:c r="P36" s="16" t="str">
        <x:v>A large man, scar from left eyebrow to jaw. Half his face swallowed by backlight.</x:v>
      </x:c>
      <x:c r="Q36" s="16" t="str">
        <x:v>RELATION_INTRO</x:v>
      </x:c>
      <x:c r="R36" s="16" t="str"/>
      <x:c r="S36" s="16" t="str">
        <x:v>카인의 반보와 두 사람의 말하지 않는 관계를 소개</x:v>
      </x:c>
      <x:c r="T36" s="16" t="str">
        <x:v>후속 정보가 생기면 행동·배경의 의미를 재검토</x:v>
      </x:c>
      <x:c r="U36" s="16" t="str">
        <x:v>반보 / 보호 / 침묵</x:v>
      </x:c>
      <x:c r="V36" s="16" t="str">
        <x:v>동료 AI 기본 오프셋 ‘반보 뒤’와 보호 포지션</x:v>
      </x:c>
      <x:c r="W36" s="16"/>
      <x:c r="X36" s="22" t="str">
        <x:v>NONE</x:v>
      </x:c>
      <x:c r="Y36" s="16" t="str">
        <x:v>GLOBAL-VIS-01</x:v>
      </x:c>
      <x:c r="Z36" s="22" t="str">
        <x:v>SOURCE</x:v>
      </x:c>
      <x:c r="AA36" s="22"/>
      <x:c r="AB36" s="16"/>
      <x:c r="AC36" s="16" t="str">
        <x:v>EP01_대본_전량_001-282(2).md</x:v>
      </x:c>
      <x:c r="AD36" s="22" t="n">
        <x:v>491</x:v>
      </x:c>
      <x:c r="AE36" s="139" t="str">
        <x:v>NOT_APPLICABLE</x:v>
      </x:c>
      <x:c r="AF36" s="139" t="str">
        <x:v>NONE</x:v>
      </x:c>
    </x:row>
    <x:row r="37" ht="72" customHeight="1">
      <x:c r="A37" s="24" t="str">
        <x:v>036</x:v>
      </x:c>
      <x:c r="B37" s="26" t="str">
        <x:v>B036-036</x:v>
      </x:c>
      <x:c r="C37" s="22" t="n">
        <x:v>1</x:v>
      </x:c>
      <x:c r="D37" s="22" t="str">
        <x:v>1/1</x:v>
      </x:c>
      <x:c r="E37" s="26" t="str">
        <x:v>EP01-S03</x:v>
      </x:c>
      <x:c r="F37" s="20" t="str">
        <x:v>3절 반보 뒤</x:v>
      </x:c>
      <x:c r="G37" s="20" t="str">
        <x:v>ECU</x:v>
      </x:c>
      <x:c r="H37" s="22" t="str"/>
      <x:c r="I37" s="24" t="str">
        <x:v>01-1-2</x:v>
      </x:c>
      <x:c r="J37" s="20" t="str">
        <x:v>바닥·난간·철문</x:v>
      </x:c>
      <x:c r="K37" s="16" t="str">
        <x:v>흉터. 날붙이 자국이지 짐승 자국이 아니다</x:v>
      </x:c>
      <x:c r="L37" s="16" t="str">
        <x:v>흉터. 날붙이 자국이지 짐승 자국이 아니다</x:v>
      </x:c>
      <x:c r="M37" s="16" t="str"/>
      <x:c r="N37" s="16" t="str"/>
      <x:c r="O37" s="16" t="str">
        <x:v>360px · 여백 중</x:v>
      </x:c>
      <x:c r="P37" s="16" t="str">
        <x:v>Extreme close on a scar. Clearly a blade wound, not a claw.</x:v>
      </x:c>
      <x:c r="Q37" s="16" t="str">
        <x:v>RELATION_INTRO</x:v>
      </x:c>
      <x:c r="R37" s="16" t="str"/>
      <x:c r="S37" s="16" t="str">
        <x:v>카인의 반보와 두 사람의 말하지 않는 관계를 소개</x:v>
      </x:c>
      <x:c r="T37" s="16" t="str">
        <x:v>후속 정보가 생기면 행동·배경의 의미를 재검토</x:v>
      </x:c>
      <x:c r="U37" s="16" t="str">
        <x:v>반보 / 보호 / 침묵</x:v>
      </x:c>
      <x:c r="V37" s="16" t="str">
        <x:v>동료 AI 기본 오프셋 ‘반보 뒤’와 보호 포지션</x:v>
      </x:c>
      <x:c r="W37" s="16"/>
      <x:c r="X37" s="22" t="str">
        <x:v>NONE</x:v>
      </x:c>
      <x:c r="Y37" s="16" t="str">
        <x:v>GLOBAL-VIS-01</x:v>
      </x:c>
      <x:c r="Z37" s="22" t="str">
        <x:v>SOURCE</x:v>
      </x:c>
      <x:c r="AA37" s="22"/>
      <x:c r="AB37" s="16"/>
      <x:c r="AC37" s="16" t="str">
        <x:v>EP01_대본_전량_001-282(2).md</x:v>
      </x:c>
      <x:c r="AD37" s="22" t="n">
        <x:v>503</x:v>
      </x:c>
      <x:c r="AE37" s="139" t="str">
        <x:v>NOT_APPLICABLE</x:v>
      </x:c>
      <x:c r="AF37" s="139" t="str">
        <x:v>NONE</x:v>
      </x:c>
    </x:row>
    <x:row r="38" ht="72" customHeight="1">
      <x:c r="A38" s="24" t="str">
        <x:v>037</x:v>
      </x:c>
      <x:c r="B38" s="26" t="str">
        <x:v>B037-037</x:v>
      </x:c>
      <x:c r="C38" s="22" t="n">
        <x:v>1</x:v>
      </x:c>
      <x:c r="D38" s="22" t="str">
        <x:v>1/1</x:v>
      </x:c>
      <x:c r="E38" s="26" t="str">
        <x:v>EP01-S03</x:v>
      </x:c>
      <x:c r="F38" s="20" t="str">
        <x:v>3절 반보 뒤</x:v>
      </x:c>
      <x:c r="G38" s="20" t="str">
        <x:v>MS</x:v>
      </x:c>
      <x:c r="H38" s="22" t="str"/>
      <x:c r="I38" s="24" t="str">
        <x:v>01-1-2</x:v>
      </x:c>
      <x:c r="J38" s="20" t="str">
        <x:v>바닥·난간·철문</x:v>
      </x:c>
      <x:c r="K38" s="16" t="str">
        <x:v>어깨에 괸 티타늄 대검 190cm·62kg. 한 손 쥔 손아귀에 힘줄 하나 안 섰다</x:v>
      </x:c>
      <x:c r="L38" s="16" t="str">
        <x:v>어깨에 괸 티타늄 대검 190cm·62kg. 한 손 쥔 손아귀에 힘줄 하나 안 섰다</x:v>
      </x:c>
      <x:c r="M38" s="16" t="str"/>
      <x:c r="N38" s="16" t="str"/>
      <x:c r="O38" s="16" t="str">
        <x:v>430px · 여백 넓</x:v>
      </x:c>
      <x:c r="P38" s="16" t="str">
        <x:v>A huge titanium greatsword resting on a shoulder, held with one relaxed hand. No strain in the grip.</x:v>
      </x:c>
      <x:c r="Q38" s="16" t="str">
        <x:v>RELATION_INTRO</x:v>
      </x:c>
      <x:c r="R38" s="16" t="str"/>
      <x:c r="S38" s="16" t="str">
        <x:v>카인의 반보와 두 사람의 말하지 않는 관계를 소개</x:v>
      </x:c>
      <x:c r="T38" s="16" t="str">
        <x:v>후속 정보가 생기면 행동·배경의 의미를 재검토</x:v>
      </x:c>
      <x:c r="U38" s="16" t="str">
        <x:v>손 / 놓침 / 책임</x:v>
      </x:c>
      <x:c r="V38" s="16" t="str">
        <x:v>동료 AI 기본 오프셋 ‘반보 뒤’와 보호 포지션</x:v>
      </x:c>
      <x:c r="W38" s="16"/>
      <x:c r="X38" s="22" t="str">
        <x:v>NONE</x:v>
      </x:c>
      <x:c r="Y38" s="16" t="str">
        <x:v>GLOBAL-VIS-01</x:v>
      </x:c>
      <x:c r="Z38" s="22" t="str">
        <x:v>SOURCE</x:v>
      </x:c>
      <x:c r="AA38" s="22"/>
      <x:c r="AB38" s="16"/>
      <x:c r="AC38" s="16" t="str">
        <x:v>EP01_대본_전량_001-282(2).md</x:v>
      </x:c>
      <x:c r="AD38" s="22" t="n">
        <x:v>515</x:v>
      </x:c>
      <x:c r="AE38" s="139" t="str">
        <x:v>NOT_APPLICABLE</x:v>
      </x:c>
      <x:c r="AF38" s="139" t="str">
        <x:v>NONE</x:v>
      </x:c>
    </x:row>
    <x:row r="39" ht="72" customHeight="1">
      <x:c r="A39" s="24" t="str">
        <x:v>038</x:v>
      </x:c>
      <x:c r="B39" s="26" t="str">
        <x:v>B038-038</x:v>
      </x:c>
      <x:c r="C39" s="22" t="n">
        <x:v>1</x:v>
      </x:c>
      <x:c r="D39" s="22" t="str">
        <x:v>1/1</x:v>
      </x:c>
      <x:c r="E39" s="26" t="str">
        <x:v>EP01-S03</x:v>
      </x:c>
      <x:c r="F39" s="20" t="str">
        <x:v>3절 반보 뒤</x:v>
      </x:c>
      <x:c r="G39" s="20" t="str">
        <x:v>WIDE 전신</x:v>
      </x:c>
      <x:c r="H39" s="22" t="str">
        <x:v>⭐🤫</x:v>
      </x:c>
      <x:c r="I39" s="24" t="str">
        <x:v>01-1-2</x:v>
      </x:c>
      <x:c r="J39" s="20" t="str">
        <x:v>바닥·난간·철문</x:v>
      </x:c>
      <x:c r="K39" s="16" t="str">
        <x:v>카인이 걸어와 멈춘다. 아인의 반보 뒤. 옆에 서지 않는다. 발이 프레임에</x:v>
      </x:c>
      <x:c r="L39" s="16" t="str">
        <x:v>카인이 걸어와 멈춘다. 아인의 반보 뒤. 옆에 서지 않는다. 발이 프레임에</x:v>
      </x:c>
      <x:c r="M39" s="16" t="str"/>
      <x:c r="N39" s="16" t="str"/>
      <x:c r="O39" s="16" t="str">
        <x:v>520px · 여백 좁</x:v>
      </x:c>
      <x:c r="P39" s="16" t="str">
        <x:v>Two full figures on a rooftop. The larger man stops exactly half a step behind the woman, never beside her. BOTH PAIRS OF FEET MUST BE IN FRAME.</x:v>
      </x:c>
      <x:c r="Q39" s="16" t="str">
        <x:v>RELATION_INTRO</x:v>
      </x:c>
      <x:c r="R39" s="16" t="str">
        <x:v>SIGNATURE / SILENT_ACTING</x:v>
      </x:c>
      <x:c r="S39" s="16" t="str">
        <x:v>카인의 반보와 두 사람의 말하지 않는 관계를 소개</x:v>
      </x:c>
      <x:c r="T39" s="16" t="str">
        <x:v>침묵한 반응의 이유를 후발 정보로 다시 읽음 / 시그니처 상징의 기원 / 카인의 반보가 습관이 아니라 선택으로 읽힘</x:v>
      </x:c>
      <x:c r="U39" s="16" t="str">
        <x:v>거리 / 보호 / 선택</x:v>
      </x:c>
      <x:c r="V39" s="16" t="str">
        <x:v>동료 AI 기본 오프셋 ‘반보 뒤’와 보호 포지션</x:v>
      </x:c>
      <x:c r="W39" s="16" t="str">
        <x:v>EXTERNAL + MAIN SYMBOL: 카인의 반보</x:v>
      </x:c>
      <x:c r="X39" s="22" t="str">
        <x:v>EXPANSION</x:v>
      </x:c>
      <x:c r="Y39" s="16" t="str">
        <x:v>대사 금지 또는 응답 없는 침묵 유지 / 카인 반보 뒤 / 두 사람 발 프레임 포함 / 아인 왼쪽 견갑·오른쪽 건틀릿 좌우 고정 / GLOBAL-VIS-01</x:v>
      </x:c>
      <x:c r="Z39" s="22" t="str">
        <x:v>SOURCE</x:v>
      </x:c>
      <x:c r="AA39" s="22"/>
      <x:c r="AB39" s="16"/>
      <x:c r="AC39" s="16" t="str">
        <x:v>EP01_대본_전량_001-282(2).md</x:v>
      </x:c>
      <x:c r="AD39" s="22" t="n">
        <x:v>527</x:v>
      </x:c>
      <x:c r="AE39" s="139" t="str">
        <x:v>PRIVATE_TRUTH</x:v>
      </x:c>
      <x:c r="AF39" s="139" t="str">
        <x:v>OPTIONAL_EXTENSION</x:v>
      </x:c>
    </x:row>
    <x:row r="40" ht="72" customHeight="1">
      <x:c r="A40" s="24" t="str">
        <x:v>039</x:v>
      </x:c>
      <x:c r="B40" s="26" t="str">
        <x:v>B039-039</x:v>
      </x:c>
      <x:c r="C40" s="22" t="n">
        <x:v>1</x:v>
      </x:c>
      <x:c r="D40" s="22" t="str">
        <x:v>1/1</x:v>
      </x:c>
      <x:c r="E40" s="26" t="str">
        <x:v>EP01-S03</x:v>
      </x:c>
      <x:c r="F40" s="20" t="str">
        <x:v>3절 반보 뒤</x:v>
      </x:c>
      <x:c r="G40" s="20" t="str">
        <x:v>인서트</x:v>
      </x:c>
      <x:c r="H40" s="22" t="str">
        <x:v>📢</x:v>
      </x:c>
      <x:c r="I40" s="24" t="str">
        <x:v>01-1-2</x:v>
      </x:c>
      <x:c r="J40" s="20" t="str">
        <x:v>바닥·난간·철문</x:v>
      </x:c>
      <x:c r="K40" s="16" t="str">
        <x:v>하단. 두 사람 발 위치. 반보 차이가 눈에 보이게</x:v>
      </x:c>
      <x:c r="L40" s="16" t="str">
        <x:v>하단. 두 사람 발 위치. 반보 차이가 눈에 보이게</x:v>
      </x:c>
      <x:c r="M40" s="16" t="str">
        <x:v>나레이션: 누가 정한 적은 없었다.</x:v>
      </x:c>
      <x:c r="N40" s="16" t="str"/>
      <x:c r="O40" s="16" t="str">
        <x:v>300px · 여백 극</x:v>
      </x:c>
      <x:c r="P40" s="16" t="str">
        <x:v>Close on the lower frame. Two pairs of boots. The half-step gap must be clearly visible.</x:v>
      </x:c>
      <x:c r="Q40" s="16" t="str">
        <x:v>RELATION_INTRO</x:v>
      </x:c>
      <x:c r="R40" s="16" t="str">
        <x:v>EXPLICIT_RULE</x:v>
      </x:c>
      <x:c r="S40" s="16" t="str">
        <x:v>카인의 반보와 두 사람의 말하지 않는 관계를 소개</x:v>
      </x:c>
      <x:c r="T40" s="16" t="str">
        <x:v>카인의 반보가 습관이 아니라 선택으로 읽힘</x:v>
      </x:c>
      <x:c r="U40" s="16" t="str">
        <x:v>거리 / 보호 / 선택</x:v>
      </x:c>
      <x:c r="V40" s="16" t="str">
        <x:v>동료 AI 기본 오프셋 ‘반보 뒤’와 보호 포지션</x:v>
      </x:c>
      <x:c r="W40" s="16" t="str">
        <x:v>EXTERNAL + MAIN SYMBOL: 카인의 반보</x:v>
      </x:c>
      <x:c r="X40" s="22" t="str">
        <x:v>EXPANSION</x:v>
      </x:c>
      <x:c r="Y40" s="16" t="str">
        <x:v>정보 컷; 분위기보다 이해 우선 / 카인 반보 뒤 / 두 사람 발 프레임 포함 / GLOBAL-VIS-01</x:v>
      </x:c>
      <x:c r="Z40" s="22" t="str">
        <x:v>SOURCE</x:v>
      </x:c>
      <x:c r="AA40" s="22"/>
      <x:c r="AB40" s="16"/>
      <x:c r="AC40" s="16" t="str">
        <x:v>EP01_대본_전량_001-282(2).md</x:v>
      </x:c>
      <x:c r="AD40" s="22" t="n">
        <x:v>539</x:v>
      </x:c>
      <x:c r="AE40" s="139" t="str">
        <x:v>PRIVATE_TRUTH</x:v>
      </x:c>
      <x:c r="AF40" s="139" t="str">
        <x:v>OPTIONAL_EXTENSION</x:v>
      </x:c>
    </x:row>
    <x:row r="41" ht="72" customHeight="1">
      <x:c r="A41" s="24" t="str">
        <x:v>040</x:v>
      </x:c>
      <x:c r="B41" s="26" t="str">
        <x:v>B040-040</x:v>
      </x:c>
      <x:c r="C41" s="22" t="n">
        <x:v>1</x:v>
      </x:c>
      <x:c r="D41" s="22" t="str">
        <x:v>1/1</x:v>
      </x:c>
      <x:c r="E41" s="26" t="str">
        <x:v>EP01-S03</x:v>
      </x:c>
      <x:c r="F41" s="20" t="str">
        <x:v>3절 반보 뒤</x:v>
      </x:c>
      <x:c r="G41" s="20" t="str">
        <x:v>CU 분할</x:v>
      </x:c>
      <x:c r="H41" s="22" t="str"/>
      <x:c r="I41" s="24" t="str">
        <x:v>01-1-3</x:v>
      </x:c>
      <x:c r="J41" s="20" t="str">
        <x:v>옥상 근접판</x:v>
      </x:c>
      <x:c r="K41" s="16" t="str">
        <x:v>라이터 불 ↔ 배경 황혼. 정확히 같은 색</x:v>
      </x:c>
      <x:c r="L41" s="16" t="str">
        <x:v>라이터 불 ↔ 배경 황혼. 정확히 같은 색</x:v>
      </x:c>
      <x:c r="M41" s="16" t="str"/>
      <x:c r="N41" s="16" t="str">
        <x:v>착—</x:v>
      </x:c>
      <x:c r="O41" s="16" t="str">
        <x:v>360px · 여백 중</x:v>
      </x:c>
      <x:c r="P41" s="16" t="str">
        <x:v>A lighter flame against the twilight sky. Exactly the same color.</x:v>
      </x:c>
      <x:c r="Q41" s="16" t="str">
        <x:v>RELATION_INTRO</x:v>
      </x:c>
      <x:c r="R41" s="16" t="str"/>
      <x:c r="S41" s="16" t="str">
        <x:v>카인의 반보와 두 사람의 말하지 않는 관계를 소개</x:v>
      </x:c>
      <x:c r="T41" s="16" t="str">
        <x:v>후속 정보가 생기면 행동·배경의 의미를 재검토</x:v>
      </x:c>
      <x:c r="U41" s="16" t="str">
        <x:v>반보 / 보호 / 침묵</x:v>
      </x:c>
      <x:c r="V41" s="16" t="str">
        <x:v>동료 AI 기본 오프셋 ‘반보 뒤’와 보호 포지션</x:v>
      </x:c>
      <x:c r="W41" s="16"/>
      <x:c r="X41" s="22" t="str">
        <x:v>NONE</x:v>
      </x:c>
      <x:c r="Y41" s="16" t="str">
        <x:v>GLOBAL-VIS-01</x:v>
      </x:c>
      <x:c r="Z41" s="22" t="str">
        <x:v>SOURCE</x:v>
      </x:c>
      <x:c r="AA41" s="22"/>
      <x:c r="AB41" s="16"/>
      <x:c r="AC41" s="16" t="str">
        <x:v>EP01_대본_전량_001-282(2).md</x:v>
      </x:c>
      <x:c r="AD41" s="22" t="n">
        <x:v>552</x:v>
      </x:c>
      <x:c r="AE41" s="139" t="str">
        <x:v>NOT_APPLICABLE</x:v>
      </x:c>
      <x:c r="AF41" s="139" t="str">
        <x:v>NONE</x:v>
      </x:c>
    </x:row>
    <x:row r="42" ht="72" customHeight="1">
      <x:c r="A42" s="24" t="str">
        <x:v>041</x:v>
      </x:c>
      <x:c r="B42" s="26" t="str">
        <x:v>B041-041</x:v>
      </x:c>
      <x:c r="C42" s="22" t="n">
        <x:v>1</x:v>
      </x:c>
      <x:c r="D42" s="22" t="str">
        <x:v>1/1</x:v>
      </x:c>
      <x:c r="E42" s="26" t="str">
        <x:v>EP01-S03</x:v>
      </x:c>
      <x:c r="F42" s="20" t="str">
        <x:v>3절 반보 뒤</x:v>
      </x:c>
      <x:c r="G42" s="20" t="str">
        <x:v>MS 뒤에서</x:v>
      </x:c>
      <x:c r="H42" s="22" t="str"/>
      <x:c r="I42" s="24" t="str">
        <x:v>01-1-2</x:v>
      </x:c>
      <x:c r="J42" s="20" t="str">
        <x:v>바닥·난간·철문</x:v>
      </x:c>
      <x:c r="K42" s="16" t="str">
        <x:v>카인. 아인은 돌아보지 않는다. 연기를 뱉는다</x:v>
      </x:c>
      <x:c r="L42" s="16" t="str">
        <x:v>카인. 아인은 돌아보지 않는다. 연기를 뱉는다</x:v>
      </x:c>
      <x:c r="M42" s="16" t="str">
        <x:v>대사 · 카인: 「어이, 아인. 쓸데없는 감상에 젖어있을 시간 없다. / 마태오 영감이 지하 인력사무소에서 부른다. / 오늘 들어온 의뢰… 핏값이 제법 두둑해.」</x:v>
      </x:c>
      <x:c r="N42" s="16" t="str"/>
      <x:c r="O42" s="16" t="str">
        <x:v>470px · 여백 좁</x:v>
      </x:c>
      <x:c r="P42" s="16" t="str">
        <x:v>From behind. A large man exhaling smoke. The woman ahead does not turn.</x:v>
      </x:c>
      <x:c r="Q42" s="16" t="str">
        <x:v>RELATION_INTRO</x:v>
      </x:c>
      <x:c r="R42" s="16" t="str"/>
      <x:c r="S42" s="16" t="str">
        <x:v>카인의 반보와 두 사람의 말하지 않는 관계를 소개</x:v>
      </x:c>
      <x:c r="T42" s="16" t="str">
        <x:v>후속 정보가 생기면 행동·배경의 의미를 재검토</x:v>
      </x:c>
      <x:c r="U42" s="16" t="str">
        <x:v>반보 / 보호 / 침묵</x:v>
      </x:c>
      <x:c r="V42" s="16" t="str">
        <x:v>동료 AI 기본 오프셋 ‘반보 뒤’와 보호 포지션</x:v>
      </x:c>
      <x:c r="W42" s="16"/>
      <x:c r="X42" s="22" t="str">
        <x:v>NONE</x:v>
      </x:c>
      <x:c r="Y42" s="16" t="str">
        <x:v>아인 왼쪽 견갑·오른쪽 건틀릿 좌우 고정 / GLOBAL-VIS-01</x:v>
      </x:c>
      <x:c r="Z42" s="22" t="str">
        <x:v>SOURCE</x:v>
      </x:c>
      <x:c r="AA42" s="22"/>
      <x:c r="AB42" s="16"/>
      <x:c r="AC42" s="16" t="str">
        <x:v>EP01_대본_전량_001-282(2).md</x:v>
      </x:c>
      <x:c r="AD42" s="22" t="n">
        <x:v>565</x:v>
      </x:c>
      <x:c r="AE42" s="139" t="str">
        <x:v>NOT_APPLICABLE</x:v>
      </x:c>
      <x:c r="AF42" s="139" t="str">
        <x:v>NONE</x:v>
      </x:c>
    </x:row>
    <x:row r="43" ht="72" customHeight="1">
      <x:c r="A43" s="24" t="str">
        <x:v>042</x:v>
      </x:c>
      <x:c r="B43" s="26" t="str">
        <x:v>B042-042</x:v>
      </x:c>
      <x:c r="C43" s="22" t="n">
        <x:v>1</x:v>
      </x:c>
      <x:c r="D43" s="22" t="str">
        <x:v>1/1</x:v>
      </x:c>
      <x:c r="E43" s="26" t="str">
        <x:v>EP01-S03</x:v>
      </x:c>
      <x:c r="F43" s="20" t="str">
        <x:v>3절 반보 뒤</x:v>
      </x:c>
      <x:c r="G43" s="20" t="str">
        <x:v>CU</x:v>
      </x:c>
      <x:c r="H43" s="22" t="str"/>
      <x:c r="I43" s="24" t="str">
        <x:v>01-1-3</x:v>
      </x:c>
      <x:c r="J43" s="20" t="str">
        <x:v>옥상 근접판</x:v>
      </x:c>
      <x:c r="K43" s="16" t="str">
        <x:v>카인. 눈은 웃지 않는다</x:v>
      </x:c>
      <x:c r="L43" s="16" t="str">
        <x:v>카인. 눈은 웃지 않는다</x:v>
      </x:c>
      <x:c r="M43" s="16" t="str">
        <x:v>대사 · 카인: 「두둑하다는 건 그만큼 죽기 좋다는 뜻이지만.」</x:v>
      </x:c>
      <x:c r="N43" s="16" t="str"/>
      <x:c r="O43" s="16" t="str">
        <x:v>400px · 여백 중</x:v>
      </x:c>
      <x:c r="P43" s="16" t="str">
        <x:v>Close on a large man. His mouth smiles, his eyes do not.</x:v>
      </x:c>
      <x:c r="Q43" s="16" t="str">
        <x:v>RELATION_INTRO</x:v>
      </x:c>
      <x:c r="R43" s="16" t="str"/>
      <x:c r="S43" s="16" t="str">
        <x:v>카인의 반보와 두 사람의 말하지 않는 관계를 소개</x:v>
      </x:c>
      <x:c r="T43" s="16" t="str">
        <x:v>후속 정보가 생기면 행동·배경의 의미를 재검토</x:v>
      </x:c>
      <x:c r="U43" s="16" t="str">
        <x:v>반보 / 보호 / 침묵</x:v>
      </x:c>
      <x:c r="V43" s="16" t="str">
        <x:v>동료 AI 기본 오프셋 ‘반보 뒤’와 보호 포지션</x:v>
      </x:c>
      <x:c r="W43" s="16"/>
      <x:c r="X43" s="22" t="str">
        <x:v>NONE</x:v>
      </x:c>
      <x:c r="Y43" s="16" t="str">
        <x:v>GLOBAL-VIS-01</x:v>
      </x:c>
      <x:c r="Z43" s="22" t="str">
        <x:v>SOURCE</x:v>
      </x:c>
      <x:c r="AA43" s="22"/>
      <x:c r="AB43" s="16"/>
      <x:c r="AC43" s="16" t="str">
        <x:v>EP01_대본_전량_001-282(2).md</x:v>
      </x:c>
      <x:c r="AD43" s="22" t="n">
        <x:v>578</x:v>
      </x:c>
      <x:c r="AE43" s="139" t="str">
        <x:v>NOT_APPLICABLE</x:v>
      </x:c>
      <x:c r="AF43" s="139" t="str">
        <x:v>NONE</x:v>
      </x:c>
    </x:row>
    <x:row r="44" ht="72" customHeight="1">
      <x:c r="A44" s="24" t="str">
        <x:v>043</x:v>
      </x:c>
      <x:c r="B44" s="26" t="str">
        <x:v>B043-043</x:v>
      </x:c>
      <x:c r="C44" s="22" t="n">
        <x:v>1</x:v>
      </x:c>
      <x:c r="D44" s="22" t="str">
        <x:v>1/1</x:v>
      </x:c>
      <x:c r="E44" s="26" t="str">
        <x:v>EP01-S03</x:v>
      </x:c>
      <x:c r="F44" s="20" t="str">
        <x:v>3절 반보 뒤</x:v>
      </x:c>
      <x:c r="G44" s="20" t="str">
        <x:v>ECU</x:v>
      </x:c>
      <x:c r="H44" s="22" t="str">
        <x:v>🤫</x:v>
      </x:c>
      <x:c r="I44" s="24" t="str">
        <x:v>01-1-3</x:v>
      </x:c>
      <x:c r="J44" s="20" t="str">
        <x:v>옥상 근접판</x:v>
      </x:c>
      <x:c r="K44" s="16" t="str">
        <x:v>아인의 손가락 마디에 힘이 들어갔다 풀린다</x:v>
      </x:c>
      <x:c r="L44" s="16" t="str">
        <x:v>아인의 손가락 마디에 힘이 들어갔다 풀린다</x:v>
      </x:c>
      <x:c r="M44" s="16" t="str"/>
      <x:c r="N44" s="16" t="str"/>
      <x:c r="O44" s="16" t="str">
        <x:v>340px · 여백 좁</x:v>
      </x:c>
      <x:c r="P44" s="16" t="str">
        <x:v>Extreme close on knuckles tightening then releasing.</x:v>
      </x:c>
      <x:c r="Q44" s="16" t="str">
        <x:v>RELATION_INTRO</x:v>
      </x:c>
      <x:c r="R44" s="16" t="str">
        <x:v>SILENT_ACTING</x:v>
      </x:c>
      <x:c r="S44" s="16" t="str">
        <x:v>카인의 반보와 두 사람의 말하지 않는 관계를 소개</x:v>
      </x:c>
      <x:c r="T44" s="16" t="str">
        <x:v>침묵한 반응의 이유를 후발 정보로 다시 읽음</x:v>
      </x:c>
      <x:c r="U44" s="16" t="str">
        <x:v>손 / 놓침 / 책임</x:v>
      </x:c>
      <x:c r="V44" s="16" t="str">
        <x:v>동료 AI 기본 오프셋 ‘반보 뒤’와 보호 포지션</x:v>
      </x:c>
      <x:c r="W44" s="16"/>
      <x:c r="X44" s="22" t="str">
        <x:v>NONE</x:v>
      </x:c>
      <x:c r="Y44" s="16" t="str">
        <x:v>대사 금지 또는 응답 없는 침묵 유지 / 아인 왼쪽 견갑·오른쪽 건틀릿 좌우 고정 / GLOBAL-VIS-01</x:v>
      </x:c>
      <x:c r="Z44" s="22" t="str">
        <x:v>SOURCE</x:v>
      </x:c>
      <x:c r="AA44" s="22"/>
      <x:c r="AB44" s="16"/>
      <x:c r="AC44" s="16" t="str">
        <x:v>EP01_대본_전량_001-282(2).md</x:v>
      </x:c>
      <x:c r="AD44" s="22" t="n">
        <x:v>591</x:v>
      </x:c>
      <x:c r="AE44" s="139" t="str">
        <x:v>NOT_APPLICABLE</x:v>
      </x:c>
      <x:c r="AF44" s="139" t="str">
        <x:v>NONE</x:v>
      </x:c>
    </x:row>
    <x:row r="45" ht="72" customHeight="1">
      <x:c r="A45" s="24" t="str">
        <x:v>044</x:v>
      </x:c>
      <x:c r="B45" s="26" t="str">
        <x:v>B044-044</x:v>
      </x:c>
      <x:c r="C45" s="22" t="n">
        <x:v>1</x:v>
      </x:c>
      <x:c r="D45" s="22" t="str">
        <x:v>1/1</x:v>
      </x:c>
      <x:c r="E45" s="26" t="str">
        <x:v>EP01-S03</x:v>
      </x:c>
      <x:c r="F45" s="20" t="str">
        <x:v>3절 반보 뒤</x:v>
      </x:c>
      <x:c r="G45" s="20" t="str">
        <x:v>CU 측면</x:v>
      </x:c>
      <x:c r="H45" s="22" t="str"/>
      <x:c r="I45" s="24" t="str">
        <x:v>01-1-3</x:v>
      </x:c>
      <x:c r="J45" s="20" t="str">
        <x:v>옥상 근접판</x:v>
      </x:c>
      <x:c r="K45" s="16" t="str">
        <x:v>천천히 고개를 든다. 표정 변화 없음, 턱만 굳어 있다</x:v>
      </x:c>
      <x:c r="L45" s="16" t="str">
        <x:v>천천히 고개를 든다. 표정 변화 없음, 턱만 굳어 있다</x:v>
      </x:c>
      <x:c r="M45" s="16" t="str">
        <x:v>대사 · 아인: 「…알아. 그 피비린내 나는 지하로 내려갈 시간이라는 걸.」</x:v>
      </x:c>
      <x:c r="N45" s="16" t="str"/>
      <x:c r="O45" s="16" t="str">
        <x:v>560px · 여백 넓</x:v>
      </x:c>
      <x:c r="P45" s="16" t="str">
        <x:v>Side view. A young woman slowly lifting her head. No change of expression, only a set jaw.</x:v>
      </x:c>
      <x:c r="Q45" s="16" t="str">
        <x:v>RELATION_INTRO</x:v>
      </x:c>
      <x:c r="R45" s="16" t="str"/>
      <x:c r="S45" s="16" t="str">
        <x:v>카인의 반보와 두 사람의 말하지 않는 관계를 소개</x:v>
      </x:c>
      <x:c r="T45" s="16" t="str">
        <x:v>후속 정보가 생기면 행동·배경의 의미를 재검토</x:v>
      </x:c>
      <x:c r="U45" s="16" t="str">
        <x:v>반보 / 보호 / 침묵</x:v>
      </x:c>
      <x:c r="V45" s="16" t="str">
        <x:v>동료 AI 기본 오프셋 ‘반보 뒤’와 보호 포지션</x:v>
      </x:c>
      <x:c r="W45" s="16"/>
      <x:c r="X45" s="22" t="str">
        <x:v>NONE</x:v>
      </x:c>
      <x:c r="Y45" s="16" t="str">
        <x:v>아인 왼쪽 견갑·오른쪽 건틀릿 좌우 고정 / GLOBAL-VIS-01</x:v>
      </x:c>
      <x:c r="Z45" s="22" t="str">
        <x:v>SOURCE</x:v>
      </x:c>
      <x:c r="AA45" s="22"/>
      <x:c r="AB45" s="16"/>
      <x:c r="AC45" s="16" t="str">
        <x:v>EP01_대본_전량_001-282(2).md</x:v>
      </x:c>
      <x:c r="AD45" s="22" t="n">
        <x:v>603</x:v>
      </x:c>
      <x:c r="AE45" s="139" t="str">
        <x:v>NOT_APPLICABLE</x:v>
      </x:c>
      <x:c r="AF45" s="139" t="str">
        <x:v>NONE</x:v>
      </x:c>
    </x:row>
    <x:row r="46" ht="72" customHeight="1">
      <x:c r="A46" s="24" t="str">
        <x:v>045</x:v>
      </x:c>
      <x:c r="B46" s="26" t="str">
        <x:v>B045-045</x:v>
      </x:c>
      <x:c r="C46" s="22" t="n">
        <x:v>1</x:v>
      </x:c>
      <x:c r="D46" s="22" t="str">
        <x:v>1/1</x:v>
      </x:c>
      <x:c r="E46" s="26" t="str">
        <x:v>EP01-S03</x:v>
      </x:c>
      <x:c r="F46" s="20" t="str">
        <x:v>3절 반보 뒤</x:v>
      </x:c>
      <x:c r="G46" s="20" t="str">
        <x:v>세로 3단</x:v>
      </x:c>
      <x:c r="H46" s="22" t="str">
        <x:v>⭐🤫</x:v>
      </x:c>
      <x:c r="I46" s="24" t="str">
        <x:v>01-1-2</x:v>
      </x:c>
      <x:c r="J46" s="20" t="str">
        <x:v>바닥·난간·철문</x:v>
      </x:c>
      <x:c r="K46" s="16" t="str">
        <x:v>위: 담배를 발로 비벼 끈다, 아직 절반 남았다 / 가운데: 그것을 주워 주머니에 넣는 손 / 아래: CU 아인. 봤다. 시선이 잠깐 머물렀다 떨어진다</x:v>
      </x:c>
      <x:c r="L46" s="16" t="str">
        <x:v>위: 담배를 발로 비벼 끈다, 아직 절반 남았다 / 가운데: 그것을 주워 주머니에 넣는 손 / 아래: CU 아인. 봤다. 시선이 잠깐 머물렀다 떨어진다</x:v>
      </x:c>
      <x:c r="M46" s="16" t="str"/>
      <x:c r="N46" s="16" t="str"/>
      <x:c r="O46" s="16" t="str">
        <x:v>780px · 여백 극</x:v>
      </x:c>
      <x:c r="P46" s="16" t="str">
        <x:v>Three stacked panels: a boot grinding out a cigarette still half unsmoked, a hand picking it up and pocketing it, a woman's eyes resting on it then looking away. NO DIALOGUE.</x:v>
      </x:c>
      <x:c r="Q46" s="16" t="str">
        <x:v>RELATION_INTRO</x:v>
      </x:c>
      <x:c r="R46" s="16" t="str">
        <x:v>SIGNATURE / SILENT_ACTING</x:v>
      </x:c>
      <x:c r="S46" s="16" t="str">
        <x:v>카인의 반보와 두 사람의 말하지 않는 관계를 소개</x:v>
      </x:c>
      <x:c r="T46" s="16" t="str">
        <x:v>침묵한 반응의 이유를 후발 정보로 다시 읽음 / 시그니처 상징의 기원</x:v>
      </x:c>
      <x:c r="U46" s="16" t="str">
        <x:v>손 / 놓침 / 책임 / 거리</x:v>
      </x:c>
      <x:c r="V46" s="16" t="str">
        <x:v>동료 AI 기본 오프셋 ‘반보 뒤’와 보호 포지션</x:v>
      </x:c>
      <x:c r="W46" s="16"/>
      <x:c r="X46" s="22" t="str">
        <x:v>NONE</x:v>
      </x:c>
      <x:c r="Y46" s="16" t="str">
        <x:v>대사 금지 또는 응답 없는 침묵 유지 / 아인 왼쪽 견갑·오른쪽 건틀릿 좌우 고정 / GLOBAL-VIS-01</x:v>
      </x:c>
      <x:c r="Z46" s="22" t="str">
        <x:v>SOURCE</x:v>
      </x:c>
      <x:c r="AA46" s="22"/>
      <x:c r="AB46" s="16"/>
      <x:c r="AC46" s="16" t="str">
        <x:v>EP01_대본_전량_001-282(2).md</x:v>
      </x:c>
      <x:c r="AD46" s="22" t="n">
        <x:v>616</x:v>
      </x:c>
      <x:c r="AE46" s="139" t="str">
        <x:v>NOT_APPLICABLE</x:v>
      </x:c>
      <x:c r="AF46" s="139" t="str">
        <x:v>NONE</x:v>
      </x:c>
    </x:row>
    <x:row r="47" ht="72" customHeight="1">
      <x:c r="A47" s="24" t="str">
        <x:v>046</x:v>
      </x:c>
      <x:c r="B47" s="26" t="str">
        <x:v>B046-046</x:v>
      </x:c>
      <x:c r="C47" s="22" t="n">
        <x:v>1</x:v>
      </x:c>
      <x:c r="D47" s="22" t="str">
        <x:v>1/1</x:v>
      </x:c>
      <x:c r="E47" s="26" t="str">
        <x:v>EP01-S04</x:v>
      </x:c>
      <x:c r="F47" s="20" t="str">
        <x:v>4절 사람이 사는 곳</x:v>
      </x:c>
      <x:c r="G47" s="20" t="str">
        <x:v>극세로 부감</x:v>
      </x:c>
      <x:c r="H47" s="22" t="str"/>
      <x:c r="I47" s="24" t="str">
        <x:v>03-1-2</x:v>
      </x:c>
      <x:c r="J47" s="20" t="str">
        <x:v>벙커 계단</x:v>
      </x:c>
      <x:c r="K47" s="16" t="str">
        <x:v>끝없는 나선 계단. 두 사람이 아주 작다</x:v>
      </x:c>
      <x:c r="L47" s="16" t="str">
        <x:v>끝없는 나선 계단. 두 사람이 아주 작다</x:v>
      </x:c>
      <x:c r="M47" s="16" t="str"/>
      <x:c r="N47" s="16" t="str"/>
      <x:c r="O47" s="16" t="str">
        <x:v>420px · 여백 좁</x:v>
      </x:c>
      <x:c r="P47" s="16" t="str">
        <x:v>Place two small figures descending a spiral staircase, seen from high above. They are tiny in the frame.</x:v>
      </x:c>
      <x:c r="Q47" s="16" t="str">
        <x:v>HUB_LIFE</x:v>
      </x:c>
      <x:c r="R47" s="16" t="str"/>
      <x:c r="S47" s="16" t="str">
        <x:v>폐허가 아니라 생활권인 강남 벙커를 체험</x:v>
      </x:c>
      <x:c r="T47" s="16" t="str">
        <x:v>후속 정보가 생기면 행동·배경의 의미를 재검토</x:v>
      </x:c>
      <x:c r="U47" s="16" t="str">
        <x:v>생활 / 거점 / 인간성</x:v>
      </x:c>
      <x:c r="V47" s="16" t="str">
        <x:v>허브 동선·배급·NPC 생활 상태</x:v>
      </x:c>
      <x:c r="W47" s="16"/>
      <x:c r="X47" s="22" t="str">
        <x:v>NONE</x:v>
      </x:c>
      <x:c r="Y47" s="16" t="str">
        <x:v>GLOBAL-VIS-01</x:v>
      </x:c>
      <x:c r="Z47" s="22" t="str">
        <x:v>SOURCE</x:v>
      </x:c>
      <x:c r="AA47" s="22"/>
      <x:c r="AB47" s="16"/>
      <x:c r="AC47" s="16" t="str">
        <x:v>EP01_대본_전량_001-282(2).md</x:v>
      </x:c>
      <x:c r="AD47" s="22" t="n">
        <x:v>634</x:v>
      </x:c>
      <x:c r="AE47" s="139" t="str">
        <x:v>NOT_APPLICABLE</x:v>
      </x:c>
      <x:c r="AF47" s="139" t="str">
        <x:v>NONE</x:v>
      </x:c>
    </x:row>
    <x:row r="48" ht="72" customHeight="1">
      <x:c r="A48" s="24" t="str">
        <x:v>047</x:v>
      </x:c>
      <x:c r="B48" s="26" t="str">
        <x:v>B047-047</x:v>
      </x:c>
      <x:c r="C48" s="22" t="n">
        <x:v>1</x:v>
      </x:c>
      <x:c r="D48" s="22" t="str">
        <x:v>1/1</x:v>
      </x:c>
      <x:c r="E48" s="26" t="str">
        <x:v>EP01-S04</x:v>
      </x:c>
      <x:c r="F48" s="20" t="str">
        <x:v>4절 사람이 사는 곳</x:v>
      </x:c>
      <x:c r="G48" s="20" t="str">
        <x:v>인서트</x:v>
      </x:c>
      <x:c r="H48" s="22" t="str"/>
      <x:c r="I48" s="24" t="str">
        <x:v>03-1-2</x:v>
      </x:c>
      <x:c r="J48" s="20" t="str">
        <x:v>벙커 계단</x:v>
      </x:c>
      <x:c r="K48" s="16" t="str">
        <x:v>천장 조명이 명멸한다</x:v>
      </x:c>
      <x:c r="L48" s="16" t="str">
        <x:v>천장 조명이 명멸한다</x:v>
      </x:c>
      <x:c r="M48" s="16" t="str">
        <x:v>나레이션: 발전기가 늙었다는 뜻이었다.</x:v>
      </x:c>
      <x:c r="N48" s="16" t="str"/>
      <x:c r="O48" s="16" t="str">
        <x:v>380px · 여백 중</x:v>
      </x:c>
      <x:c r="P48" s="16" t="str">
        <x:v>Close on a flickering fluorescent tube on the ceiling. No figures.</x:v>
      </x:c>
      <x:c r="Q48" s="16" t="str">
        <x:v>HUB_LIFE</x:v>
      </x:c>
      <x:c r="R48" s="16" t="str"/>
      <x:c r="S48" s="16" t="str">
        <x:v>폐허가 아니라 생활권인 강남 벙커를 체험</x:v>
      </x:c>
      <x:c r="T48" s="16" t="str">
        <x:v>후속 정보가 생기면 행동·배경의 의미를 재검토</x:v>
      </x:c>
      <x:c r="U48" s="16" t="str">
        <x:v>생활 / 거점 / 인간성</x:v>
      </x:c>
      <x:c r="V48" s="16" t="str">
        <x:v>허브 동선·배급·NPC 생활 상태</x:v>
      </x:c>
      <x:c r="W48" s="16"/>
      <x:c r="X48" s="22" t="str">
        <x:v>NONE</x:v>
      </x:c>
      <x:c r="Y48" s="16" t="str">
        <x:v>GLOBAL-VIS-01</x:v>
      </x:c>
      <x:c r="Z48" s="22" t="str">
        <x:v>SOURCE</x:v>
      </x:c>
      <x:c r="AA48" s="22"/>
      <x:c r="AB48" s="16"/>
      <x:c r="AC48" s="16" t="str">
        <x:v>EP01_대본_전량_001-282(2).md</x:v>
      </x:c>
      <x:c r="AD48" s="22" t="n">
        <x:v>646</x:v>
      </x:c>
      <x:c r="AE48" s="139" t="str">
        <x:v>NOT_APPLICABLE</x:v>
      </x:c>
      <x:c r="AF48" s="139" t="str">
        <x:v>NONE</x:v>
      </x:c>
    </x:row>
    <x:row r="49" ht="72" customHeight="1">
      <x:c r="A49" s="24" t="str">
        <x:v>048</x:v>
      </x:c>
      <x:c r="B49" s="26" t="str">
        <x:v>B048-048</x:v>
      </x:c>
      <x:c r="C49" s="22" t="n">
        <x:v>1</x:v>
      </x:c>
      <x:c r="D49" s="22" t="str">
        <x:v>1/1</x:v>
      </x:c>
      <x:c r="E49" s="26" t="str">
        <x:v>EP01-S04</x:v>
      </x:c>
      <x:c r="F49" s="20" t="str">
        <x:v>4절 사람이 사는 곳</x:v>
      </x:c>
      <x:c r="G49" s="20" t="str">
        <x:v>EWIDE 블리드</x:v>
      </x:c>
      <x:c r="H49" s="22" t="str"/>
      <x:c r="I49" s="24" t="str">
        <x:v>03-1</x:v>
      </x:c>
      <x:c r="J49" s="20" t="str">
        <x:v>벙커 통로</x:v>
      </x:c>
      <x:c r="K49" s="16" t="str">
        <x:v>철문이 열리는 순간 소리가 쏟아진다. 벙커 중앙 통로 전경</x:v>
      </x:c>
      <x:c r="L49" s="16" t="str">
        <x:v>철문이 열리는 순간 소리가 쏟아진다. 벙커 중앙 통로 전경</x:v>
      </x:c>
      <x:c r="M49" s="16" t="str"/>
      <x:c r="N49" s="16" t="str">
        <x:v>왁자— 쨍— 딸그락</x:v>
      </x:c>
      <x:c r="O49" s="16" t="str">
        <x:v>1,500px · 여백 넓</x:v>
      </x:c>
      <x:c r="P49" s="16" t="str">
        <x:v>Wide bunker corridor bustling with life. No visible faces. Market stalls both sides.</x:v>
      </x:c>
      <x:c r="Q49" s="16" t="str">
        <x:v>HUB_LIFE</x:v>
      </x:c>
      <x:c r="R49" s="16" t="str"/>
      <x:c r="S49" s="16" t="str">
        <x:v>폐허가 아니라 생활권인 강남 벙커를 체험</x:v>
      </x:c>
      <x:c r="T49" s="16" t="str">
        <x:v>후속 정보가 생기면 행동·배경의 의미를 재검토</x:v>
      </x:c>
      <x:c r="U49" s="16" t="str">
        <x:v>생활 / 거점 / 책임</x:v>
      </x:c>
      <x:c r="V49" s="16" t="str">
        <x:v>허브 동선·배급·NPC 생활 상태</x:v>
      </x:c>
      <x:c r="W49" s="16"/>
      <x:c r="X49" s="22" t="str">
        <x:v>NONE</x:v>
      </x:c>
      <x:c r="Y49" s="16" t="str">
        <x:v>GLOBAL-VIS-01</x:v>
      </x:c>
      <x:c r="Z49" s="22" t="str">
        <x:v>SOURCE</x:v>
      </x:c>
      <x:c r="AA49" s="22"/>
      <x:c r="AB49" s="16"/>
      <x:c r="AC49" s="16" t="str">
        <x:v>EP01_대본_전량_001-282(2).md</x:v>
      </x:c>
      <x:c r="AD49" s="22" t="n">
        <x:v>659</x:v>
      </x:c>
      <x:c r="AE49" s="139" t="str">
        <x:v>NOT_APPLICABLE</x:v>
      </x:c>
      <x:c r="AF49" s="139" t="str">
        <x:v>NONE</x:v>
      </x:c>
    </x:row>
    <x:row r="50" ht="72" customHeight="1">
      <x:c r="A50" s="24" t="str">
        <x:v>049</x:v>
      </x:c>
      <x:c r="B50" s="26" t="str">
        <x:v>B049-049</x:v>
      </x:c>
      <x:c r="C50" s="22" t="n">
        <x:v>1</x:v>
      </x:c>
      <x:c r="D50" s="22" t="str">
        <x:v>1/1</x:v>
      </x:c>
      <x:c r="E50" s="26" t="str">
        <x:v>EP01-S04</x:v>
      </x:c>
      <x:c r="F50" s="20" t="str">
        <x:v>4절 사람이 사는 곳</x:v>
      </x:c>
      <x:c r="G50" s="20" t="str">
        <x:v>MS</x:v>
      </x:c>
      <x:c r="H50" s="22" t="str"/>
      <x:c r="I50" s="24" t="str">
        <x:v>03-1</x:v>
      </x:c>
      <x:c r="J50" s="20" t="str">
        <x:v>벙커 통로</x:v>
      </x:c>
      <x:c r="K50" s="16" t="str">
        <x:v>배급 줄. 사람들이 깡통을 들고 서 있다</x:v>
      </x:c>
      <x:c r="L50" s="16" t="str">
        <x:v>배급 줄. 사람들이 깡통을 들고 서 있다</x:v>
      </x:c>
      <x:c r="M50" s="16" t="str"/>
      <x:c r="N50" s="16" t="str"/>
      <x:c r="O50" s="16" t="str">
        <x:v>400px · 여백 좁</x:v>
      </x:c>
      <x:c r="P50" s="16" t="str">
        <x:v>A ration queue of people holding tins, seen from behind. Faces not visible.</x:v>
      </x:c>
      <x:c r="Q50" s="16" t="str">
        <x:v>HUB_LIFE</x:v>
      </x:c>
      <x:c r="R50" s="16" t="str"/>
      <x:c r="S50" s="16" t="str">
        <x:v>폐허가 아니라 생활권인 강남 벙커를 체험</x:v>
      </x:c>
      <x:c r="T50" s="16" t="str">
        <x:v>후속 정보가 생기면 행동·배경의 의미를 재검토</x:v>
      </x:c>
      <x:c r="U50" s="16" t="str">
        <x:v>생활 / 거점 / 책임</x:v>
      </x:c>
      <x:c r="V50" s="16" t="str">
        <x:v>허브 동선·배급·NPC 생활 상태</x:v>
      </x:c>
      <x:c r="W50" s="16"/>
      <x:c r="X50" s="22" t="str">
        <x:v>NONE</x:v>
      </x:c>
      <x:c r="Y50" s="16" t="str">
        <x:v>GLOBAL-VIS-01</x:v>
      </x:c>
      <x:c r="Z50" s="22" t="str">
        <x:v>SOURCE</x:v>
      </x:c>
      <x:c r="AA50" s="22"/>
      <x:c r="AB50" s="16"/>
      <x:c r="AC50" s="16" t="str">
        <x:v>EP01_대본_전량_001-282(2).md</x:v>
      </x:c>
      <x:c r="AD50" s="22" t="n">
        <x:v>672</x:v>
      </x:c>
      <x:c r="AE50" s="139" t="str">
        <x:v>NOT_APPLICABLE</x:v>
      </x:c>
      <x:c r="AF50" s="139" t="str">
        <x:v>NONE</x:v>
      </x:c>
    </x:row>
    <x:row r="51" ht="72" customHeight="1">
      <x:c r="A51" s="24" t="str">
        <x:v>050</x:v>
      </x:c>
      <x:c r="B51" s="26" t="str">
        <x:v>B050-050</x:v>
      </x:c>
      <x:c r="C51" s="22" t="n">
        <x:v>1</x:v>
      </x:c>
      <x:c r="D51" s="22" t="str">
        <x:v>1/1</x:v>
      </x:c>
      <x:c r="E51" s="26" t="str">
        <x:v>EP01-S04</x:v>
      </x:c>
      <x:c r="F51" s="20" t="str">
        <x:v>4절 사람이 사는 곳</x:v>
      </x:c>
      <x:c r="G51" s="20" t="str">
        <x:v>MS</x:v>
      </x:c>
      <x:c r="H51" s="22" t="str"/>
      <x:c r="I51" s="24" t="str">
        <x:v>03-1</x:v>
      </x:c>
      <x:c r="J51" s="20" t="str">
        <x:v>벙커 통로</x:v>
      </x:c>
      <x:c r="K51" s="16" t="str">
        <x:v>좌판. 나사·전선·깡통이 널려 있다</x:v>
      </x:c>
      <x:c r="L51" s="16" t="str">
        <x:v>좌판. 나사·전선·깡통이 널려 있다</x:v>
      </x:c>
      <x:c r="M51" s="16" t="str"/>
      <x:c r="N51" s="16" t="str"/>
      <x:c r="O51" s="16" t="str">
        <x:v>400px · 여백 좁</x:v>
      </x:c>
      <x:c r="P51" s="16" t="str">
        <x:v>Close on a makeshift stall covered with screws, wire, tins.</x:v>
      </x:c>
      <x:c r="Q51" s="16" t="str">
        <x:v>HUB_LIFE</x:v>
      </x:c>
      <x:c r="R51" s="16" t="str"/>
      <x:c r="S51" s="16" t="str">
        <x:v>폐허가 아니라 생활권인 강남 벙커를 체험</x:v>
      </x:c>
      <x:c r="T51" s="16" t="str">
        <x:v>후속 정보가 생기면 행동·배경의 의미를 재검토</x:v>
      </x:c>
      <x:c r="U51" s="16" t="str">
        <x:v>생활 / 거점 / 인간성</x:v>
      </x:c>
      <x:c r="V51" s="16" t="str">
        <x:v>허브 동선·배급·NPC 생활 상태</x:v>
      </x:c>
      <x:c r="W51" s="16"/>
      <x:c r="X51" s="22" t="str">
        <x:v>NONE</x:v>
      </x:c>
      <x:c r="Y51" s="16" t="str">
        <x:v>GLOBAL-VIS-01</x:v>
      </x:c>
      <x:c r="Z51" s="22" t="str">
        <x:v>SOURCE</x:v>
      </x:c>
      <x:c r="AA51" s="22"/>
      <x:c r="AB51" s="16"/>
      <x:c r="AC51" s="16" t="str">
        <x:v>EP01_대본_전량_001-282(2).md</x:v>
      </x:c>
      <x:c r="AD51" s="22" t="n">
        <x:v>684</x:v>
      </x:c>
      <x:c r="AE51" s="139" t="str">
        <x:v>NOT_APPLICABLE</x:v>
      </x:c>
      <x:c r="AF51" s="139" t="str">
        <x:v>NONE</x:v>
      </x:c>
    </x:row>
    <x:row r="52" ht="72" customHeight="1">
      <x:c r="A52" s="24" t="str">
        <x:v>051</x:v>
      </x:c>
      <x:c r="B52" s="26" t="str">
        <x:v>B051-051</x:v>
      </x:c>
      <x:c r="C52" s="22" t="n">
        <x:v>1</x:v>
      </x:c>
      <x:c r="D52" s="22" t="str">
        <x:v>1/1</x:v>
      </x:c>
      <x:c r="E52" s="26" t="str">
        <x:v>EP01-S04</x:v>
      </x:c>
      <x:c r="F52" s="20" t="str">
        <x:v>4절 사람이 사는 곳</x:v>
      </x:c>
      <x:c r="G52" s="20" t="str">
        <x:v>CU</x:v>
      </x:c>
      <x:c r="H52" s="22" t="str"/>
      <x:c r="I52" s="24" t="str">
        <x:v>03-1</x:v>
      </x:c>
      <x:c r="J52" s="20" t="str">
        <x:v>벙커 통로</x:v>
      </x:c>
      <x:c r="K52" s="16" t="str">
        <x:v>아이 둘이 뛰어 지나간다. 웃고 있다</x:v>
      </x:c>
      <x:c r="L52" s="16" t="str">
        <x:v>아이 둘이 뛰어 지나간다. 웃고 있다</x:v>
      </x:c>
      <x:c r="M52" s="16" t="str"/>
      <x:c r="N52" s="16" t="str"/>
      <x:c r="O52" s="16" t="str">
        <x:v>400px · 여백 중</x:v>
      </x:c>
      <x:c r="P52" s="16" t="str">
        <x:v>Two children running past, laughing, motion blur. Seen from a low angle.</x:v>
      </x:c>
      <x:c r="Q52" s="16" t="str">
        <x:v>HUB_LIFE</x:v>
      </x:c>
      <x:c r="R52" s="16" t="str"/>
      <x:c r="S52" s="16" t="str">
        <x:v>폐허가 아니라 생활권인 강남 벙커를 체험</x:v>
      </x:c>
      <x:c r="T52" s="16" t="str">
        <x:v>후속 정보가 생기면 행동·배경의 의미를 재검토</x:v>
      </x:c>
      <x:c r="U52" s="16" t="str">
        <x:v>생활 / 거점 / 책임</x:v>
      </x:c>
      <x:c r="V52" s="16" t="str">
        <x:v>허브 동선·배급·NPC 생활 상태</x:v>
      </x:c>
      <x:c r="W52" s="16"/>
      <x:c r="X52" s="22" t="str">
        <x:v>NONE</x:v>
      </x:c>
      <x:c r="Y52" s="16" t="str">
        <x:v>GLOBAL-VIS-01</x:v>
      </x:c>
      <x:c r="Z52" s="22" t="str">
        <x:v>SOURCE</x:v>
      </x:c>
      <x:c r="AA52" s="22"/>
      <x:c r="AB52" s="16"/>
      <x:c r="AC52" s="16" t="str">
        <x:v>EP01_대본_전량_001-282(2).md</x:v>
      </x:c>
      <x:c r="AD52" s="22" t="n">
        <x:v>696</x:v>
      </x:c>
      <x:c r="AE52" s="139" t="str">
        <x:v>NOT_APPLICABLE</x:v>
      </x:c>
      <x:c r="AF52" s="139" t="str">
        <x:v>NONE</x:v>
      </x:c>
    </x:row>
    <x:row r="53" ht="72" customHeight="1">
      <x:c r="A53" s="24" t="str">
        <x:v>052</x:v>
      </x:c>
      <x:c r="B53" s="26" t="str">
        <x:v>B052-052</x:v>
      </x:c>
      <x:c r="C53" s="22" t="n">
        <x:v>1</x:v>
      </x:c>
      <x:c r="D53" s="22" t="str">
        <x:v>1/1</x:v>
      </x:c>
      <x:c r="E53" s="26" t="str">
        <x:v>EP01-S04</x:v>
      </x:c>
      <x:c r="F53" s="20" t="str">
        <x:v>4절 사람이 사는 곳</x:v>
      </x:c>
      <x:c r="G53" s="20" t="str">
        <x:v>MS</x:v>
      </x:c>
      <x:c r="H53" s="22" t="str"/>
      <x:c r="I53" s="24" t="str">
        <x:v>03-1</x:v>
      </x:c>
      <x:c r="J53" s="20" t="str">
        <x:v>벙커 통로</x:v>
      </x:c>
      <x:c r="K53" s="16" t="str">
        <x:v>벽에 붙은 배급표. 손으로 고친 자국이 여럿</x:v>
      </x:c>
      <x:c r="L53" s="16" t="str">
        <x:v>벽에 붙은 배급표. 손으로 고친 자국이 여럿</x:v>
      </x:c>
      <x:c r="M53" s="16" t="str"/>
      <x:c r="N53" s="16" t="str"/>
      <x:c r="O53" s="16" t="str">
        <x:v>380px · 여백 좁</x:v>
      </x:c>
      <x:c r="P53" s="16" t="str">
        <x:v>A ration schedule taped to a concrete wall, hand-corrected many times.</x:v>
      </x:c>
      <x:c r="Q53" s="16" t="str">
        <x:v>HUB_LIFE</x:v>
      </x:c>
      <x:c r="R53" s="16" t="str"/>
      <x:c r="S53" s="16" t="str">
        <x:v>폐허가 아니라 생활권인 강남 벙커를 체험</x:v>
      </x:c>
      <x:c r="T53" s="16" t="str">
        <x:v>후속 정보가 생기면 행동·배경의 의미를 재검토</x:v>
      </x:c>
      <x:c r="U53" s="16" t="str">
        <x:v>손 / 놓침 / 책임 / 생활</x:v>
      </x:c>
      <x:c r="V53" s="16" t="str">
        <x:v>허브 동선·배급·NPC 생활 상태</x:v>
      </x:c>
      <x:c r="W53" s="16"/>
      <x:c r="X53" s="22" t="str">
        <x:v>NONE</x:v>
      </x:c>
      <x:c r="Y53" s="16" t="str">
        <x:v>GLOBAL-VIS-01</x:v>
      </x:c>
      <x:c r="Z53" s="22" t="str">
        <x:v>SOURCE</x:v>
      </x:c>
      <x:c r="AA53" s="22"/>
      <x:c r="AB53" s="16"/>
      <x:c r="AC53" s="16" t="str">
        <x:v>EP01_대본_전량_001-282(2).md</x:v>
      </x:c>
      <x:c r="AD53" s="22" t="n">
        <x:v>708</x:v>
      </x:c>
      <x:c r="AE53" s="139" t="str">
        <x:v>NOT_APPLICABLE</x:v>
      </x:c>
      <x:c r="AF53" s="139" t="str">
        <x:v>NONE</x:v>
      </x:c>
    </x:row>
    <x:row r="54" ht="72" customHeight="1">
      <x:c r="A54" s="24" t="str">
        <x:v>053</x:v>
      </x:c>
      <x:c r="B54" s="26" t="str">
        <x:v>B053-053</x:v>
      </x:c>
      <x:c r="C54" s="22" t="n">
        <x:v>1</x:v>
      </x:c>
      <x:c r="D54" s="22" t="str">
        <x:v>1/1</x:v>
      </x:c>
      <x:c r="E54" s="26" t="str">
        <x:v>EP01-S04</x:v>
      </x:c>
      <x:c r="F54" s="20" t="str">
        <x:v>4절 사람이 사는 곳</x:v>
      </x:c>
      <x:c r="G54" s="20" t="str">
        <x:v>MS</x:v>
      </x:c>
      <x:c r="H54" s="22" t="str">
        <x:v>🎣</x:v>
      </x:c>
      <x:c r="I54" s="24" t="str">
        <x:v>03-1-1</x:v>
      </x:c>
      <x:c r="J54" s="20" t="str">
        <x:v>벙커 천장</x:v>
      </x:c>
      <x:c r="K54" s="16" t="str">
        <x:v>천장 배관. 콘크리트에 금 하나 없다</x:v>
      </x:c>
      <x:c r="L54" s="16" t="str">
        <x:v>천장 배관. 콘크리트에 금 하나 없다</x:v>
      </x:c>
      <x:c r="M54" s="16" t="str"/>
      <x:c r="N54" s="16" t="str"/>
      <x:c r="O54" s="16" t="str">
        <x:v>400px · 여백 중</x:v>
      </x:c>
      <x:c r="P54" s="16" t="str">
        <x:v>Bunker ceiling pipes. The concrete is flawless, not a single crack. Do not emphasize.</x:v>
      </x:c>
      <x:c r="Q54" s="16" t="str">
        <x:v>HUB_LIFE</x:v>
      </x:c>
      <x:c r="R54" s="16" t="str">
        <x:v>FORESHADOW</x:v>
      </x:c>
      <x:c r="S54" s="16" t="str">
        <x:v>폐허가 아니라 생활권인 강남 벙커를 체험</x:v>
      </x:c>
      <x:c r="T54" s="16" t="str">
        <x:v>처음에는 배경·노이즈로 보인 정보의 의미가 바뀜</x:v>
      </x:c>
      <x:c r="U54" s="16" t="str">
        <x:v>생활 / 거점 / 인간성</x:v>
      </x:c>
      <x:c r="V54" s="16" t="str">
        <x:v>허브 동선·배급·NPC 생활 상태</x:v>
      </x:c>
      <x:c r="W54" s="16" t="str">
        <x:v>PAYOFF: EP23~27: 벙커가 공격받지 않는 구조</x:v>
      </x:c>
      <x:c r="X54" s="22" t="str">
        <x:v>PAYOFF</x:v>
      </x:c>
      <x:c r="Y54" s="16" t="str">
        <x:v>복선 강조 금지 / GLOBAL-VIS-01</x:v>
      </x:c>
      <x:c r="Z54" s="22" t="str">
        <x:v>SOURCE</x:v>
      </x:c>
      <x:c r="AA54" s="22"/>
      <x:c r="AB54" s="16"/>
      <x:c r="AC54" s="16" t="str">
        <x:v>EP01_대본_전량_001-282(2).md</x:v>
      </x:c>
      <x:c r="AD54" s="22" t="n">
        <x:v>720</x:v>
      </x:c>
      <x:c r="AE54" s="139" t="str">
        <x:v>PUBLIC_CANON</x:v>
      </x:c>
      <x:c r="AF54" s="139" t="str">
        <x:v>CONTRACT</x:v>
      </x:c>
    </x:row>
    <x:row r="55" ht="72" customHeight="1">
      <x:c r="A55" s="24" t="str">
        <x:v>054</x:v>
      </x:c>
      <x:c r="B55" s="26" t="str">
        <x:v>B054-054</x:v>
      </x:c>
      <x:c r="C55" s="22" t="n">
        <x:v>1</x:v>
      </x:c>
      <x:c r="D55" s="22" t="str">
        <x:v>1/1</x:v>
      </x:c>
      <x:c r="E55" s="26" t="str">
        <x:v>EP01-S04</x:v>
      </x:c>
      <x:c r="F55" s="20" t="str">
        <x:v>4절 사람이 사는 곳</x:v>
      </x:c>
      <x:c r="G55" s="20" t="str">
        <x:v>CU 카인</x:v>
      </x:c>
      <x:c r="H55" s="22" t="str">
        <x:v>🎣</x:v>
      </x:c>
      <x:c r="I55" s="24" t="str">
        <x:v>03-1-1</x:v>
      </x:c>
      <x:c r="J55" s="20" t="str">
        <x:v>벙커 천장</x:v>
      </x:c>
      <x:c r="K55" s="16" t="str">
        <x:v>지나가며 위를 한 번 본다</x:v>
      </x:c>
      <x:c r="L55" s="16" t="str">
        <x:v>지나가며 위를 한 번 본다</x:v>
      </x:c>
      <x:c r="M55" s="16" t="str">
        <x:v>대사 · 카인: 「이 벙커는 왜 이렇게 멀쩡한 거지.」</x:v>
      </x:c>
      <x:c r="N55" s="16" t="str"/>
      <x:c r="O55" s="16" t="str">
        <x:v>400px · 여백 좁</x:v>
      </x:c>
      <x:c r="P55" s="16" t="str">
        <x:v>A large man glances up at the ceiling while walking past.</x:v>
      </x:c>
      <x:c r="Q55" s="16" t="str">
        <x:v>HUB_LIFE</x:v>
      </x:c>
      <x:c r="R55" s="16" t="str">
        <x:v>FORESHADOW</x:v>
      </x:c>
      <x:c r="S55" s="16" t="str">
        <x:v>폐허가 아니라 생활권인 강남 벙커를 체험</x:v>
      </x:c>
      <x:c r="T55" s="16" t="str">
        <x:v>처음에는 배경·노이즈로 보인 정보의 의미가 바뀜</x:v>
      </x:c>
      <x:c r="U55" s="16" t="str">
        <x:v>생활 / 거점 / 인간성</x:v>
      </x:c>
      <x:c r="V55" s="16" t="str">
        <x:v>허브 동선·배급·NPC 생활 상태</x:v>
      </x:c>
      <x:c r="W55" s="16" t="str">
        <x:v>PAYOFF: EP23~27: 벙커가 공격받지 않는 구조</x:v>
      </x:c>
      <x:c r="X55" s="22" t="str">
        <x:v>PAYOFF</x:v>
      </x:c>
      <x:c r="Y55" s="16" t="str">
        <x:v>복선 강조 금지 / GLOBAL-VIS-01</x:v>
      </x:c>
      <x:c r="Z55" s="22" t="str">
        <x:v>SOURCE</x:v>
      </x:c>
      <x:c r="AA55" s="22"/>
      <x:c r="AB55" s="16"/>
      <x:c r="AC55" s="16" t="str">
        <x:v>EP01_대본_전량_001-282(2).md</x:v>
      </x:c>
      <x:c r="AD55" s="22" t="n">
        <x:v>732</x:v>
      </x:c>
      <x:c r="AE55" s="139" t="str">
        <x:v>PUBLIC_CANON</x:v>
      </x:c>
      <x:c r="AF55" s="139" t="str">
        <x:v>CONTRACT</x:v>
      </x:c>
    </x:row>
    <x:row r="56" ht="72" customHeight="1">
      <x:c r="A56" s="24" t="str">
        <x:v>055</x:v>
      </x:c>
      <x:c r="B56" s="26" t="str">
        <x:v>B055-055</x:v>
      </x:c>
      <x:c r="C56" s="22" t="n">
        <x:v>1</x:v>
      </x:c>
      <x:c r="D56" s="22" t="str">
        <x:v>1/1</x:v>
      </x:c>
      <x:c r="E56" s="26" t="str">
        <x:v>EP01-S04</x:v>
      </x:c>
      <x:c r="F56" s="20" t="str">
        <x:v>4절 사람이 사는 곳</x:v>
      </x:c>
      <x:c r="G56" s="20" t="str">
        <x:v>MS 아인</x:v>
      </x:c>
      <x:c r="H56" s="22" t="str">
        <x:v>🤫</x:v>
      </x:c>
      <x:c r="I56" s="24" t="str">
        <x:v>03-1-3</x:v>
      </x:c>
      <x:c r="J56" s="20" t="str">
        <x:v>벙커 근접판</x:v>
      </x:c>
      <x:c r="K56" s="16" t="str">
        <x:v>대답하지 않는다. 걷는다</x:v>
      </x:c>
      <x:c r="L56" s="16" t="str">
        <x:v>대답하지 않는다. 걷는다</x:v>
      </x:c>
      <x:c r="M56" s="16" t="str"/>
      <x:c r="N56" s="16" t="str"/>
      <x:c r="O56" s="16" t="str">
        <x:v>400px · 여백 좁</x:v>
      </x:c>
      <x:c r="P56" s="16" t="str">
        <x:v>A young woman with a scythe walking forward, not looking back. Bust to waist.</x:v>
      </x:c>
      <x:c r="Q56" s="16" t="str">
        <x:v>HUB_LIFE</x:v>
      </x:c>
      <x:c r="R56" s="16" t="str">
        <x:v>SILENT_ACTING</x:v>
      </x:c>
      <x:c r="S56" s="16" t="str">
        <x:v>폐허가 아니라 생활권인 강남 벙커를 체험</x:v>
      </x:c>
      <x:c r="T56" s="16" t="str">
        <x:v>침묵한 반응의 이유를 후발 정보로 다시 읽음</x:v>
      </x:c>
      <x:c r="U56" s="16" t="str">
        <x:v>생활 / 거점 / 인간성</x:v>
      </x:c>
      <x:c r="V56" s="16" t="str">
        <x:v>허브 동선·배급·NPC 생활 상태</x:v>
      </x:c>
      <x:c r="W56" s="16"/>
      <x:c r="X56" s="22" t="str">
        <x:v>NONE</x:v>
      </x:c>
      <x:c r="Y56" s="16" t="str">
        <x:v>대사 금지 또는 응답 없는 침묵 유지 / 아인 왼쪽 견갑·오른쪽 건틀릿 좌우 고정 / GLOBAL-VIS-01</x:v>
      </x:c>
      <x:c r="Z56" s="22" t="str">
        <x:v>SOURCE</x:v>
      </x:c>
      <x:c r="AA56" s="22"/>
      <x:c r="AB56" s="16"/>
      <x:c r="AC56" s="16" t="str">
        <x:v>EP01_대본_전량_001-282(2).md</x:v>
      </x:c>
      <x:c r="AD56" s="22" t="n">
        <x:v>745</x:v>
      </x:c>
      <x:c r="AE56" s="139" t="str">
        <x:v>NOT_APPLICABLE</x:v>
      </x:c>
      <x:c r="AF56" s="139" t="str">
        <x:v>NONE</x:v>
      </x:c>
    </x:row>
    <x:row r="57" ht="72" customHeight="1">
      <x:c r="A57" s="24" t="str">
        <x:v>056</x:v>
      </x:c>
      <x:c r="B57" s="26" t="str">
        <x:v>B056-056</x:v>
      </x:c>
      <x:c r="C57" s="22" t="n">
        <x:v>1</x:v>
      </x:c>
      <x:c r="D57" s="22" t="str">
        <x:v>1/1</x:v>
      </x:c>
      <x:c r="E57" s="26" t="str">
        <x:v>EP01-S04</x:v>
      </x:c>
      <x:c r="F57" s="20" t="str">
        <x:v>4절 사람이 사는 곳</x:v>
      </x:c>
      <x:c r="G57" s="20" t="str">
        <x:v>WIDE</x:v>
      </x:c>
      <x:c r="H57" s="22" t="str">
        <x:v>🎭</x:v>
      </x:c>
      <x:c r="I57" s="24" t="str">
        <x:v>03-1</x:v>
      </x:c>
      <x:c r="J57" s="20" t="str">
        <x:v>벙커 통로</x:v>
      </x:c>
      <x:c r="K57" s="16" t="str">
        <x:v>두 사람이 인파 사이를 지난다. 아무도 쳐다보지 않는다</x:v>
      </x:c>
      <x:c r="L57" s="16" t="str">
        <x:v>두 사람이 인파 사이를 지난다. 아무도 쳐다보지 않는다</x:v>
      </x:c>
      <x:c r="M57" s="16" t="str"/>
      <x:c r="N57" s="16" t="str"/>
      <x:c r="O57" s="16" t="str">
        <x:v>470px · 여백 넓</x:v>
      </x:c>
      <x:c r="P57" s="16" t="str">
        <x:v>Two figures walking through a crowd. Nobody looks at them.</x:v>
      </x:c>
      <x:c r="Q57" s="16" t="str">
        <x:v>HUB_LIFE</x:v>
      </x:c>
      <x:c r="R57" s="16" t="str">
        <x:v>HUMAN_BEAT</x:v>
      </x:c>
      <x:c r="S57" s="16" t="str">
        <x:v>폐허가 아니라 생활권인 강남 벙커를 체험</x:v>
      </x:c>
      <x:c r="T57" s="16" t="str">
        <x:v>후속 정보가 생기면 행동·배경의 의미를 재검토</x:v>
      </x:c>
      <x:c r="U57" s="16" t="str">
        <x:v>생활 / 거점 / 인간성</x:v>
      </x:c>
      <x:c r="V57" s="16" t="str">
        <x:v>허브 동선·배급·NPC 생활 상태</x:v>
      </x:c>
      <x:c r="W57" s="16"/>
      <x:c r="X57" s="22" t="str">
        <x:v>NONE</x:v>
      </x:c>
      <x:c r="Y57" s="16" t="str">
        <x:v>GLOBAL-VIS-01</x:v>
      </x:c>
      <x:c r="Z57" s="22" t="str">
        <x:v>SOURCE</x:v>
      </x:c>
      <x:c r="AA57" s="22"/>
      <x:c r="AB57" s="16"/>
      <x:c r="AC57" s="16" t="str">
        <x:v>EP01_대본_전량_001-282(2).md</x:v>
      </x:c>
      <x:c r="AD57" s="22" t="n">
        <x:v>757</x:v>
      </x:c>
      <x:c r="AE57" s="139" t="str">
        <x:v>NOT_APPLICABLE</x:v>
      </x:c>
      <x:c r="AF57" s="139" t="str">
        <x:v>NONE</x:v>
      </x:c>
    </x:row>
    <x:row r="58" ht="72" customHeight="1">
      <x:c r="A58" s="24" t="str">
        <x:v>057</x:v>
      </x:c>
      <x:c r="B58" s="26" t="str">
        <x:v>B057-057</x:v>
      </x:c>
      <x:c r="C58" s="22" t="n">
        <x:v>1</x:v>
      </x:c>
      <x:c r="D58" s="22" t="str">
        <x:v>1/1</x:v>
      </x:c>
      <x:c r="E58" s="26" t="str">
        <x:v>EP01-S04</x:v>
      </x:c>
      <x:c r="F58" s="20" t="str">
        <x:v>4절 사람이 사는 곳</x:v>
      </x:c>
      <x:c r="G58" s="20" t="str">
        <x:v>CU</x:v>
      </x:c>
      <x:c r="H58" s="22" t="str"/>
      <x:c r="I58" s="24" t="str">
        <x:v>03-1-3</x:v>
      </x:c>
      <x:c r="J58" s="20" t="str">
        <x:v>벙커 근접판</x:v>
      </x:c>
      <x:c r="K58" s="16" t="str">
        <x:v>아인의 목에 아무것도 걸려 있지 않다. 빈 목</x:v>
      </x:c>
      <x:c r="L58" s="16" t="str">
        <x:v>아인의 목에 아무것도 걸려 있지 않다. 빈 목</x:v>
      </x:c>
      <x:c r="M58" s="16" t="str"/>
      <x:c r="N58" s="16" t="str"/>
      <x:c r="O58" s="16" t="str">
        <x:v>380px · 여백 중</x:v>
      </x:c>
      <x:c r="P58" s="16" t="str">
        <x:v>Extreme close on a bare neck and collarbone. Nothing hanging there.</x:v>
      </x:c>
      <x:c r="Q58" s="16" t="str">
        <x:v>HUB_LIFE</x:v>
      </x:c>
      <x:c r="R58" s="16" t="str"/>
      <x:c r="S58" s="16" t="str">
        <x:v>폐허가 아니라 생활권인 강남 벙커를 체험</x:v>
      </x:c>
      <x:c r="T58" s="16" t="str">
        <x:v>후속 정보가 생기면 행동·배경의 의미를 재검토</x:v>
      </x:c>
      <x:c r="U58" s="16" t="str">
        <x:v>생활 / 거점 / 인간성</x:v>
      </x:c>
      <x:c r="V58" s="16" t="str">
        <x:v>허브 동선·배급·NPC 생활 상태</x:v>
      </x:c>
      <x:c r="W58" s="16" t="str">
        <x:v>PAYOFF: EP09·EP20: 인식표/표시의 선택</x:v>
      </x:c>
      <x:c r="X58" s="22" t="str">
        <x:v>PAYOFF</x:v>
      </x:c>
      <x:c r="Y58" s="16" t="str">
        <x:v>아인 왼쪽 견갑·오른쪽 건틀릿 좌우 고정 / GLOBAL-VIS-01</x:v>
      </x:c>
      <x:c r="Z58" s="22" t="str">
        <x:v>SOURCE</x:v>
      </x:c>
      <x:c r="AA58" s="22"/>
      <x:c r="AB58" s="16"/>
      <x:c r="AC58" s="16" t="str">
        <x:v>EP01_대본_전량_001-282(2).md</x:v>
      </x:c>
      <x:c r="AD58" s="22" t="n">
        <x:v>769</x:v>
      </x:c>
      <x:c r="AE58" s="139" t="str">
        <x:v>PUBLIC_CANON</x:v>
      </x:c>
      <x:c r="AF58" s="139" t="str">
        <x:v>CONTRACT</x:v>
      </x:c>
    </x:row>
    <x:row r="59" ht="72" customHeight="1">
      <x:c r="A59" s="24" t="str">
        <x:v>058</x:v>
      </x:c>
      <x:c r="B59" s="26" t="str">
        <x:v>B058-058</x:v>
      </x:c>
      <x:c r="C59" s="22" t="n">
        <x:v>1</x:v>
      </x:c>
      <x:c r="D59" s="22" t="str">
        <x:v>1/1</x:v>
      </x:c>
      <x:c r="E59" s="26" t="str">
        <x:v>EP01-S04</x:v>
      </x:c>
      <x:c r="F59" s="20" t="str">
        <x:v>4절 사람이 사는 곳</x:v>
      </x:c>
      <x:c r="G59" s="20" t="str">
        <x:v>MS</x:v>
      </x:c>
      <x:c r="H59" s="22" t="str"/>
      <x:c r="I59" s="24" t="str">
        <x:v>03-1-3</x:v>
      </x:c>
      <x:c r="J59" s="20" t="str">
        <x:v>벙커 근접판</x:v>
      </x:c>
      <x:c r="K59" s="16" t="str">
        <x:v>통로 끝. 어두운 계단이 아래로 이어진다</x:v>
      </x:c>
      <x:c r="L59" s="16" t="str">
        <x:v>통로 끝. 어두운 계단이 아래로 이어진다</x:v>
      </x:c>
      <x:c r="M59" s="16" t="str"/>
      <x:c r="N59" s="16" t="str"/>
      <x:c r="O59" s="16" t="str">
        <x:v>430px · 여백 넓</x:v>
      </x:c>
      <x:c r="P59" s="16" t="str">
        <x:v>The end of a corridor where a dark staircase leads further down.</x:v>
      </x:c>
      <x:c r="Q59" s="16" t="str">
        <x:v>HUB_LIFE</x:v>
      </x:c>
      <x:c r="R59" s="16" t="str"/>
      <x:c r="S59" s="16" t="str">
        <x:v>폐허가 아니라 생활권인 강남 벙커를 체험</x:v>
      </x:c>
      <x:c r="T59" s="16" t="str">
        <x:v>후속 정보가 생기면 행동·배경의 의미를 재검토</x:v>
      </x:c>
      <x:c r="U59" s="16" t="str">
        <x:v>생활 / 거점 / 인간성</x:v>
      </x:c>
      <x:c r="V59" s="16" t="str">
        <x:v>허브 동선·배급·NPC 생활 상태</x:v>
      </x:c>
      <x:c r="W59" s="16"/>
      <x:c r="X59" s="22" t="str">
        <x:v>NONE</x:v>
      </x:c>
      <x:c r="Y59" s="16" t="str">
        <x:v>GLOBAL-VIS-01</x:v>
      </x:c>
      <x:c r="Z59" s="22" t="str">
        <x:v>SOURCE</x:v>
      </x:c>
      <x:c r="AA59" s="22"/>
      <x:c r="AB59" s="16"/>
      <x:c r="AC59" s="16" t="str">
        <x:v>EP01_대본_전량_001-282(2).md</x:v>
      </x:c>
      <x:c r="AD59" s="22" t="n">
        <x:v>781</x:v>
      </x:c>
      <x:c r="AE59" s="139" t="str">
        <x:v>NOT_APPLICABLE</x:v>
      </x:c>
      <x:c r="AF59" s="139" t="str">
        <x:v>NONE</x:v>
      </x:c>
    </x:row>
    <x:row r="60" ht="72" customHeight="1">
      <x:c r="A60" s="24" t="str">
        <x:v>059</x:v>
      </x:c>
      <x:c r="B60" s="26" t="str">
        <x:v>B059-059</x:v>
      </x:c>
      <x:c r="C60" s="22" t="n">
        <x:v>1</x:v>
      </x:c>
      <x:c r="D60" s="22" t="str">
        <x:v>1/1</x:v>
      </x:c>
      <x:c r="E60" s="26" t="str">
        <x:v>EP01-S05</x:v>
      </x:c>
      <x:c r="F60" s="20" t="str">
        <x:v>5절 재촉</x:v>
      </x:c>
      <x:c r="G60" s="20" t="str">
        <x:v>MS</x:v>
      </x:c>
      <x:c r="H60" s="22" t="str"/>
      <x:c r="I60" s="24" t="str">
        <x:v>04-1</x:v>
      </x:c>
      <x:c r="J60" s="20" t="str">
        <x:v>대장간</x:v>
      </x:c>
      <x:c r="K60" s="16" t="str">
        <x:v>대장간. 화로가 붉게 타고 있다</x:v>
      </x:c>
      <x:c r="L60" s="16" t="str">
        <x:v>대장간. 화로가 붉게 타고 있다</x:v>
      </x:c>
      <x:c r="M60" s="16" t="str"/>
      <x:c r="N60" s="16" t="str">
        <x:v>화르륵</x:v>
      </x:c>
      <x:c r="O60" s="16" t="str">
        <x:v>430px · 여백 좁</x:v>
      </x:c>
      <x:c r="P60" s="16" t="str">
        <x:v>A forge burning in an underground workshop. Light comes from below.</x:v>
      </x:c>
      <x:c r="Q60" s="16" t="str">
        <x:v>CRAFT_DEBT</x:v>
      </x:c>
      <x:c r="R60" s="16" t="str"/>
      <x:c r="S60" s="16" t="str">
        <x:v>한 장인의 몸과 낫에 축적된 시간·빚을 보여줌</x:v>
      </x:c>
      <x:c r="T60" s="16" t="str">
        <x:v>후속 정보가 생기면 행동·배경의 의미를 재검토</x:v>
      </x:c>
      <x:c r="U60" s="16" t="str">
        <x:v>빚 / 노동 / 재촉 없음</x:v>
      </x:c>
      <x:c r="V60" s="16" t="str">
        <x:v>대장간 검사·무기 상태·제작 NPC 관계</x:v>
      </x:c>
      <x:c r="W60" s="16"/>
      <x:c r="X60" s="22" t="str">
        <x:v>NONE</x:v>
      </x:c>
      <x:c r="Y60" s="16" t="str">
        <x:v>GLOBAL-VIS-01</x:v>
      </x:c>
      <x:c r="Z60" s="22" t="str">
        <x:v>SOURCE</x:v>
      </x:c>
      <x:c r="AA60" s="22"/>
      <x:c r="AB60" s="16"/>
      <x:c r="AC60" s="16" t="str">
        <x:v>EP01_대본_전량_001-282(2).md</x:v>
      </x:c>
      <x:c r="AD60" s="22" t="n">
        <x:v>799</x:v>
      </x:c>
      <x:c r="AE60" s="139" t="str">
        <x:v>NOT_APPLICABLE</x:v>
      </x:c>
      <x:c r="AF60" s="139" t="str">
        <x:v>NONE</x:v>
      </x:c>
    </x:row>
    <x:row r="61" ht="72" customHeight="1">
      <x:c r="A61" s="24" t="str">
        <x:v>060</x:v>
      </x:c>
      <x:c r="B61" s="26" t="str">
        <x:v>B060-060</x:v>
      </x:c>
      <x:c r="C61" s="22" t="n">
        <x:v>1</x:v>
      </x:c>
      <x:c r="D61" s="22" t="str">
        <x:v>1/1</x:v>
      </x:c>
      <x:c r="E61" s="26" t="str">
        <x:v>EP01-S05</x:v>
      </x:c>
      <x:c r="F61" s="20" t="str">
        <x:v>5절 재촉</x:v>
      </x:c>
      <x:c r="G61" s="20" t="str">
        <x:v>MS</x:v>
      </x:c>
      <x:c r="H61" s="22" t="str"/>
      <x:c r="I61" s="24" t="str">
        <x:v>04-1</x:v>
      </x:c>
      <x:c r="J61" s="20" t="str">
        <x:v>대장간</x:v>
      </x:c>
      <x:c r="K61" s="16" t="str">
        <x:v>한 장인. 등이 굽었다. 돌아보지 않는다</x:v>
      </x:c>
      <x:c r="L61" s="16" t="str">
        <x:v>한 장인. 등이 굽었다. 돌아보지 않는다</x:v>
      </x:c>
      <x:c r="M61" s="16" t="str"/>
      <x:c r="N61" s="16" t="str"/>
      <x:c r="O61" s="16" t="str">
        <x:v>430px · 여백 좁</x:v>
      </x:c>
      <x:c r="P61" s="16" t="str">
        <x:v>An old craftsman with a bent back, seen from behind. He does not turn.</x:v>
      </x:c>
      <x:c r="Q61" s="16" t="str">
        <x:v>CRAFT_DEBT</x:v>
      </x:c>
      <x:c r="R61" s="16" t="str"/>
      <x:c r="S61" s="16" t="str">
        <x:v>한 장인의 몸과 낫에 축적된 시간·빚을 보여줌</x:v>
      </x:c>
      <x:c r="T61" s="16" t="str">
        <x:v>후속 정보가 생기면 행동·배경의 의미를 재검토</x:v>
      </x:c>
      <x:c r="U61" s="16" t="str">
        <x:v>빚 / 노동 / 재촉 없음</x:v>
      </x:c>
      <x:c r="V61" s="16" t="str">
        <x:v>대장간 검사·무기 상태·제작 NPC 관계</x:v>
      </x:c>
      <x:c r="W61" s="16"/>
      <x:c r="X61" s="22" t="str">
        <x:v>NONE</x:v>
      </x:c>
      <x:c r="Y61" s="16" t="str">
        <x:v>GLOBAL-VIS-01</x:v>
      </x:c>
      <x:c r="Z61" s="22" t="str">
        <x:v>SOURCE</x:v>
      </x:c>
      <x:c r="AA61" s="22"/>
      <x:c r="AB61" s="16"/>
      <x:c r="AC61" s="16" t="str">
        <x:v>EP01_대본_전량_001-282(2).md</x:v>
      </x:c>
      <x:c r="AD61" s="22" t="n">
        <x:v>812</x:v>
      </x:c>
      <x:c r="AE61" s="139" t="str">
        <x:v>NOT_APPLICABLE</x:v>
      </x:c>
      <x:c r="AF61" s="139" t="str">
        <x:v>NONE</x:v>
      </x:c>
    </x:row>
    <x:row r="62" ht="72" customHeight="1">
      <x:c r="A62" s="24" t="str">
        <x:v>061</x:v>
      </x:c>
      <x:c r="B62" s="26" t="str">
        <x:v>B061-061</x:v>
      </x:c>
      <x:c r="C62" s="22" t="n">
        <x:v>1</x:v>
      </x:c>
      <x:c r="D62" s="22" t="str">
        <x:v>1/1</x:v>
      </x:c>
      <x:c r="E62" s="26" t="str">
        <x:v>EP01-S05</x:v>
      </x:c>
      <x:c r="F62" s="20" t="str">
        <x:v>5절 재촉</x:v>
      </x:c>
      <x:c r="G62" s="20" t="str">
        <x:v>CU</x:v>
      </x:c>
      <x:c r="H62" s="22" t="str"/>
      <x:c r="I62" s="24" t="str">
        <x:v>04-1-3</x:v>
      </x:c>
      <x:c r="J62" s="20" t="str">
        <x:v>대장간 근접판</x:v>
      </x:c>
      <x:c r="K62" s="16" t="str">
        <x:v>낫을 받아 드는 두 손. 마디가 굵고 화상 자국이 많다</x:v>
      </x:c>
      <x:c r="L62" s="16" t="str">
        <x:v>낫을 받아 드는 두 손. 마디가 굵고 화상 자국이 많다</x:v>
      </x:c>
      <x:c r="M62" s="16" t="str"/>
      <x:c r="N62" s="16" t="str"/>
      <x:c r="O62" s="16" t="str">
        <x:v>400px · 여백 중</x:v>
      </x:c>
      <x:c r="P62" s="16" t="str">
        <x:v>Two weathered hands with thick knuckles and burn scars receiving a scythe.</x:v>
      </x:c>
      <x:c r="Q62" s="16" t="str">
        <x:v>CRAFT_DEBT</x:v>
      </x:c>
      <x:c r="R62" s="16" t="str"/>
      <x:c r="S62" s="16" t="str">
        <x:v>한 장인의 몸과 낫에 축적된 시간·빚을 보여줌</x:v>
      </x:c>
      <x:c r="T62" s="16" t="str">
        <x:v>후속 정보가 생기면 행동·배경의 의미를 재검토</x:v>
      </x:c>
      <x:c r="U62" s="16" t="str">
        <x:v>손 / 놓침 / 책임 / 거리</x:v>
      </x:c>
      <x:c r="V62" s="16" t="str">
        <x:v>대장간 검사·무기 상태·제작 NPC 관계</x:v>
      </x:c>
      <x:c r="W62" s="16"/>
      <x:c r="X62" s="22" t="str">
        <x:v>NONE</x:v>
      </x:c>
      <x:c r="Y62" s="16" t="str">
        <x:v>GLOBAL-VIS-01</x:v>
      </x:c>
      <x:c r="Z62" s="22" t="str">
        <x:v>SOURCE</x:v>
      </x:c>
      <x:c r="AA62" s="22"/>
      <x:c r="AB62" s="16"/>
      <x:c r="AC62" s="16" t="str">
        <x:v>EP01_대본_전량_001-282(2).md</x:v>
      </x:c>
      <x:c r="AD62" s="22" t="n">
        <x:v>824</x:v>
      </x:c>
      <x:c r="AE62" s="139" t="str">
        <x:v>NOT_APPLICABLE</x:v>
      </x:c>
      <x:c r="AF62" s="139" t="str">
        <x:v>NONE</x:v>
      </x:c>
    </x:row>
    <x:row r="63" ht="72" customHeight="1">
      <x:c r="A63" s="24" t="str">
        <x:v>062</x:v>
      </x:c>
      <x:c r="B63" s="26" t="str">
        <x:v>B062-065</x:v>
      </x:c>
      <x:c r="C63" s="22" t="n">
        <x:v>4</x:v>
      </x:c>
      <x:c r="D63" s="22" t="str">
        <x:v>1/4</x:v>
      </x:c>
      <x:c r="E63" s="26" t="str">
        <x:v>EP01-S05</x:v>
      </x:c>
      <x:c r="F63" s="20" t="str">
        <x:v>5절 재촉</x:v>
      </x:c>
      <x:c r="G63" s="20" t="str">
        <x:v>인서트 4분할</x:v>
      </x:c>
      <x:c r="H63" s="22" t="str"/>
      <x:c r="I63" s="24" t="str">
        <x:v>04-1-3</x:v>
      </x:c>
      <x:c r="J63" s="20" t="str">
        <x:v>대장간 근접판</x:v>
      </x:c>
      <x:c r="K63" s="16" t="str">
        <x:v>눈높이에 들어 곡률을 본다</x:v>
      </x:c>
      <x:c r="L63" s="16" t="str">
        <x:v>① 눈높이에 들어 곡률을 본다 ② 끝자락을 훑는다 ③ 이음새를 두드린다 ④ 무게중심을 잡는다</x:v>
      </x:c>
      <x:c r="M63" s="16" t="str"/>
      <x:c r="N63" s="16" t="str">
        <x:v>탁</x:v>
      </x:c>
      <x:c r="O63" s="16" t="str">
        <x:v>900px · 여백 중</x:v>
      </x:c>
      <x:c r="P63" s="16" t="str">
        <x:v>Four stacked panels of the same hands inspecting a scythe: raising it to eye level, running a finger along the tip, tapping the joint, balancing it on the palm.</x:v>
      </x:c>
      <x:c r="Q63" s="16" t="str">
        <x:v>CRAFT_DEBT</x:v>
      </x:c>
      <x:c r="R63" s="16" t="str"/>
      <x:c r="S63" s="16" t="str">
        <x:v>한 장인의 몸과 낫에 축적된 시간·빚을 보여줌</x:v>
      </x:c>
      <x:c r="T63" s="16" t="str">
        <x:v>후속 정보가 생기면 행동·배경의 의미를 재검토</x:v>
      </x:c>
      <x:c r="U63" s="16" t="str">
        <x:v>선택 / 대가 / 침묵</x:v>
      </x:c>
      <x:c r="V63" s="16" t="str">
        <x:v>대장간 검사·무기 상태·제작 NPC 관계</x:v>
      </x:c>
      <x:c r="W63" s="16"/>
      <x:c r="X63" s="22" t="str">
        <x:v>NONE</x:v>
      </x:c>
      <x:c r="Y63" s="16" t="str">
        <x:v>GLOBAL-VIS-01</x:v>
      </x:c>
      <x:c r="Z63" s="22" t="str">
        <x:v>SOURCE_SPLIT</x:v>
      </x:c>
      <x:c r="AA63" s="22"/>
      <x:c r="AB63" s="16"/>
      <x:c r="AC63" s="16" t="str">
        <x:v>EP01_대본_전량_001-282(2).md</x:v>
      </x:c>
      <x:c r="AD63" s="22" t="n">
        <x:v>836</x:v>
      </x:c>
      <x:c r="AE63" s="139" t="str">
        <x:v>NOT_APPLICABLE</x:v>
      </x:c>
      <x:c r="AF63" s="139" t="str">
        <x:v>NONE</x:v>
      </x:c>
    </x:row>
    <x:row r="64" ht="72" customHeight="1">
      <x:c r="A64" s="24" t="str">
        <x:v>063</x:v>
      </x:c>
      <x:c r="B64" s="26" t="str">
        <x:v>B062-065</x:v>
      </x:c>
      <x:c r="C64" s="22" t="n">
        <x:v>4</x:v>
      </x:c>
      <x:c r="D64" s="22" t="str">
        <x:v>2/4</x:v>
      </x:c>
      <x:c r="E64" s="26" t="str">
        <x:v>EP01-S05</x:v>
      </x:c>
      <x:c r="F64" s="20" t="str">
        <x:v>5절 재촉</x:v>
      </x:c>
      <x:c r="G64" s="20" t="str">
        <x:v>인서트 4분할</x:v>
      </x:c>
      <x:c r="H64" s="22" t="str"/>
      <x:c r="I64" s="24" t="str">
        <x:v>04-1-3</x:v>
      </x:c>
      <x:c r="J64" s="20" t="str">
        <x:v>대장간 근접판</x:v>
      </x:c>
      <x:c r="K64" s="16" t="str">
        <x:v>끝자락을 훑는다</x:v>
      </x:c>
      <x:c r="L64" s="16" t="str">
        <x:v>① 눈높이에 들어 곡률을 본다 ② 끝자락을 훑는다 ③ 이음새를 두드린다 ④ 무게중심을 잡는다</x:v>
      </x:c>
      <x:c r="M64" s="16" t="str"/>
      <x:c r="N64" s="16" t="str">
        <x:v>탁</x:v>
      </x:c>
      <x:c r="O64" s="16" t="str">
        <x:v>900px · 여백 중</x:v>
      </x:c>
      <x:c r="P64" s="16" t="str">
        <x:v>Four stacked panels of the same hands inspecting a scythe: raising it to eye level, running a finger along the tip, tapping the joint, balancing it on the palm.</x:v>
      </x:c>
      <x:c r="Q64" s="16" t="str">
        <x:v>CRAFT_DEBT</x:v>
      </x:c>
      <x:c r="R64" s="16" t="str"/>
      <x:c r="S64" s="16" t="str">
        <x:v>한 장인의 몸과 낫에 축적된 시간·빚을 보여줌</x:v>
      </x:c>
      <x:c r="T64" s="16" t="str">
        <x:v>후속 정보가 생기면 행동·배경의 의미를 재검토</x:v>
      </x:c>
      <x:c r="U64" s="16" t="str">
        <x:v>거리 / 박자 / 원</x:v>
      </x:c>
      <x:c r="V64" s="16" t="str">
        <x:v>대장간 검사·무기 상태·제작 NPC 관계</x:v>
      </x:c>
      <x:c r="W64" s="16"/>
      <x:c r="X64" s="22" t="str">
        <x:v>NONE</x:v>
      </x:c>
      <x:c r="Y64" s="16" t="str">
        <x:v>GLOBAL-VIS-01</x:v>
      </x:c>
      <x:c r="Z64" s="22" t="str">
        <x:v>SOURCE_SPLIT</x:v>
      </x:c>
      <x:c r="AA64" s="22"/>
      <x:c r="AB64" s="16"/>
      <x:c r="AC64" s="16" t="str">
        <x:v>EP01_대본_전량_001-282(2).md</x:v>
      </x:c>
      <x:c r="AD64" s="22" t="n">
        <x:v>836</x:v>
      </x:c>
      <x:c r="AE64" s="139" t="str">
        <x:v>NOT_APPLICABLE</x:v>
      </x:c>
      <x:c r="AF64" s="139" t="str">
        <x:v>NONE</x:v>
      </x:c>
    </x:row>
    <x:row r="65" ht="72" customHeight="1">
      <x:c r="A65" s="24" t="str">
        <x:v>064</x:v>
      </x:c>
      <x:c r="B65" s="26" t="str">
        <x:v>B062-065</x:v>
      </x:c>
      <x:c r="C65" s="22" t="n">
        <x:v>4</x:v>
      </x:c>
      <x:c r="D65" s="22" t="str">
        <x:v>3/4</x:v>
      </x:c>
      <x:c r="E65" s="26" t="str">
        <x:v>EP01-S05</x:v>
      </x:c>
      <x:c r="F65" s="20" t="str">
        <x:v>5절 재촉</x:v>
      </x:c>
      <x:c r="G65" s="20" t="str">
        <x:v>인서트 4분할</x:v>
      </x:c>
      <x:c r="H65" s="22" t="str"/>
      <x:c r="I65" s="24" t="str">
        <x:v>04-1-3</x:v>
      </x:c>
      <x:c r="J65" s="20" t="str">
        <x:v>대장간 근접판</x:v>
      </x:c>
      <x:c r="K65" s="16" t="str">
        <x:v>이음새를 두드린다</x:v>
      </x:c>
      <x:c r="L65" s="16" t="str">
        <x:v>① 눈높이에 들어 곡률을 본다 ② 끝자락을 훑는다 ③ 이음새를 두드린다 ④ 무게중심을 잡는다</x:v>
      </x:c>
      <x:c r="M65" s="16" t="str"/>
      <x:c r="N65" s="16" t="str">
        <x:v>탁</x:v>
      </x:c>
      <x:c r="O65" s="16" t="str">
        <x:v>900px · 여백 중</x:v>
      </x:c>
      <x:c r="P65" s="16" t="str">
        <x:v>Four stacked panels of the same hands inspecting a scythe: raising it to eye level, running a finger along the tip, tapping the joint, balancing it on the palm.</x:v>
      </x:c>
      <x:c r="Q65" s="16" t="str">
        <x:v>CRAFT_DEBT</x:v>
      </x:c>
      <x:c r="R65" s="16" t="str"/>
      <x:c r="S65" s="16" t="str">
        <x:v>한 장인의 몸과 낫에 축적된 시간·빚을 보여줌</x:v>
      </x:c>
      <x:c r="T65" s="16" t="str">
        <x:v>후속 정보가 생기면 행동·배경의 의미를 재검토</x:v>
      </x:c>
      <x:c r="U65" s="16" t="str">
        <x:v>선택 / 대가 / 침묵</x:v>
      </x:c>
      <x:c r="V65" s="16" t="str">
        <x:v>대장간 검사·무기 상태·제작 NPC 관계</x:v>
      </x:c>
      <x:c r="W65" s="16"/>
      <x:c r="X65" s="22" t="str">
        <x:v>NONE</x:v>
      </x:c>
      <x:c r="Y65" s="16" t="str">
        <x:v>GLOBAL-VIS-01</x:v>
      </x:c>
      <x:c r="Z65" s="22" t="str">
        <x:v>SOURCE_SPLIT</x:v>
      </x:c>
      <x:c r="AA65" s="22"/>
      <x:c r="AB65" s="16"/>
      <x:c r="AC65" s="16" t="str">
        <x:v>EP01_대본_전량_001-282(2).md</x:v>
      </x:c>
      <x:c r="AD65" s="22" t="n">
        <x:v>836</x:v>
      </x:c>
      <x:c r="AE65" s="139" t="str">
        <x:v>NOT_APPLICABLE</x:v>
      </x:c>
      <x:c r="AF65" s="139" t="str">
        <x:v>NONE</x:v>
      </x:c>
    </x:row>
    <x:row r="66" ht="72" customHeight="1">
      <x:c r="A66" s="24" t="str">
        <x:v>065</x:v>
      </x:c>
      <x:c r="B66" s="26" t="str">
        <x:v>B062-065</x:v>
      </x:c>
      <x:c r="C66" s="22" t="n">
        <x:v>4</x:v>
      </x:c>
      <x:c r="D66" s="22" t="str">
        <x:v>4/4</x:v>
      </x:c>
      <x:c r="E66" s="26" t="str">
        <x:v>EP01-S05</x:v>
      </x:c>
      <x:c r="F66" s="20" t="str">
        <x:v>5절 재촉</x:v>
      </x:c>
      <x:c r="G66" s="20" t="str">
        <x:v>인서트 4분할</x:v>
      </x:c>
      <x:c r="H66" s="22" t="str"/>
      <x:c r="I66" s="24" t="str">
        <x:v>04-1-3</x:v>
      </x:c>
      <x:c r="J66" s="20" t="str">
        <x:v>대장간 근접판</x:v>
      </x:c>
      <x:c r="K66" s="16" t="str">
        <x:v>무게중심을 잡는다</x:v>
      </x:c>
      <x:c r="L66" s="16" t="str">
        <x:v>① 눈높이에 들어 곡률을 본다 ② 끝자락을 훑는다 ③ 이음새를 두드린다 ④ 무게중심을 잡는다</x:v>
      </x:c>
      <x:c r="M66" s="16" t="str"/>
      <x:c r="N66" s="16" t="str">
        <x:v>탁</x:v>
      </x:c>
      <x:c r="O66" s="16" t="str">
        <x:v>900px · 여백 중</x:v>
      </x:c>
      <x:c r="P66" s="16" t="str">
        <x:v>Four stacked panels of the same hands inspecting a scythe: raising it to eye level, running a finger along the tip, tapping the joint, balancing it on the palm.</x:v>
      </x:c>
      <x:c r="Q66" s="16" t="str">
        <x:v>CRAFT_DEBT</x:v>
      </x:c>
      <x:c r="R66" s="16" t="str"/>
      <x:c r="S66" s="16" t="str">
        <x:v>한 장인의 몸과 낫에 축적된 시간·빚을 보여줌</x:v>
      </x:c>
      <x:c r="T66" s="16" t="str">
        <x:v>후속 정보가 생기면 행동·배경의 의미를 재검토</x:v>
      </x:c>
      <x:c r="U66" s="16" t="str">
        <x:v>선택 / 대가 / 침묵</x:v>
      </x:c>
      <x:c r="V66" s="16" t="str">
        <x:v>대장간 검사·무기 상태·제작 NPC 관계</x:v>
      </x:c>
      <x:c r="W66" s="16"/>
      <x:c r="X66" s="22" t="str">
        <x:v>NONE</x:v>
      </x:c>
      <x:c r="Y66" s="16" t="str">
        <x:v>GLOBAL-VIS-01</x:v>
      </x:c>
      <x:c r="Z66" s="22" t="str">
        <x:v>SOURCE_SPLIT</x:v>
      </x:c>
      <x:c r="AA66" s="22"/>
      <x:c r="AB66" s="16"/>
      <x:c r="AC66" s="16" t="str">
        <x:v>EP01_대본_전량_001-282(2).md</x:v>
      </x:c>
      <x:c r="AD66" s="22" t="n">
        <x:v>836</x:v>
      </x:c>
      <x:c r="AE66" s="139" t="str">
        <x:v>NOT_APPLICABLE</x:v>
      </x:c>
      <x:c r="AF66" s="139" t="str">
        <x:v>NONE</x:v>
      </x:c>
    </x:row>
    <x:row r="67" ht="72" customHeight="1">
      <x:c r="A67" s="24" t="str">
        <x:v>066</x:v>
      </x:c>
      <x:c r="B67" s="26" t="str">
        <x:v>B066-066</x:v>
      </x:c>
      <x:c r="C67" s="22" t="n">
        <x:v>1</x:v>
      </x:c>
      <x:c r="D67" s="22" t="str">
        <x:v>1/1</x:v>
      </x:c>
      <x:c r="E67" s="26" t="str">
        <x:v>EP01-S05</x:v>
      </x:c>
      <x:c r="F67" s="20" t="str">
        <x:v>5절 재촉</x:v>
      </x:c>
      <x:c r="G67" s="20" t="str">
        <x:v>ECU</x:v>
      </x:c>
      <x:c r="H67" s="22" t="str">
        <x:v>⭐🤫</x:v>
      </x:c>
      <x:c r="I67" s="24" t="str">
        <x:v>04-1-3</x:v>
      </x:c>
      <x:c r="J67" s="20" t="str">
        <x:v>대장간 근접판</x:v>
      </x:c>
      <x:c r="K67" s="16" t="str">
        <x:v>손이 아주 미세하게 떨린다</x:v>
      </x:c>
      <x:c r="L67" s="16" t="str">
        <x:v>손이 아주 미세하게 떨린다</x:v>
      </x:c>
      <x:c r="M67" s="16" t="str"/>
      <x:c r="N67" s="16" t="str"/>
      <x:c r="O67" s="16" t="str">
        <x:v>430px · 여백 극</x:v>
      </x:c>
      <x:c r="P67" s="16" t="str">
        <x:v>Extreme close on an old hand holding a scythe handle. A very faint tremor. No face.</x:v>
      </x:c>
      <x:c r="Q67" s="16" t="str">
        <x:v>CRAFT_DEBT</x:v>
      </x:c>
      <x:c r="R67" s="16" t="str">
        <x:v>SIGNATURE / SILENT_ACTING</x:v>
      </x:c>
      <x:c r="S67" s="16" t="str">
        <x:v>한 장인의 몸과 낫에 축적된 시간·빚을 보여줌</x:v>
      </x:c>
      <x:c r="T67" s="16" t="str">
        <x:v>침묵한 반응의 이유를 후발 정보로 다시 읽음 / 시그니처 상징의 기원 / EP18 이후 한 장인의 침묵과 떨림이 마지막 준비로 읽힘</x:v>
      </x:c>
      <x:c r="U67" s="16" t="str">
        <x:v>손 / 놓침 / 책임</x:v>
      </x:c>
      <x:c r="V67" s="16" t="str">
        <x:v>대장간 검사·무기 상태·제작 NPC 관계</x:v>
      </x:c>
      <x:c r="W67" s="16" t="str">
        <x:v>PAYOFF: EP18: 한 장인의 마지막 장검·사망</x:v>
      </x:c>
      <x:c r="X67" s="22" t="str">
        <x:v>PAYOFF</x:v>
      </x:c>
      <x:c r="Y67" s="16" t="str">
        <x:v>대사 금지 또는 응답 없는 침묵 유지 / GLOBAL-VIS-01</x:v>
      </x:c>
      <x:c r="Z67" s="22" t="str">
        <x:v>SOURCE</x:v>
      </x:c>
      <x:c r="AA67" s="22"/>
      <x:c r="AB67" s="16"/>
      <x:c r="AC67" s="16" t="str">
        <x:v>EP01_대본_전량_001-282(2).md</x:v>
      </x:c>
      <x:c r="AD67" s="22" t="n">
        <x:v>849</x:v>
      </x:c>
      <x:c r="AE67" s="139" t="str">
        <x:v>PUBLIC_CANON</x:v>
      </x:c>
      <x:c r="AF67" s="139" t="str">
        <x:v>CONTRACT</x:v>
      </x:c>
    </x:row>
    <x:row r="68" ht="72" customHeight="1">
      <x:c r="A68" s="24" t="str">
        <x:v>067</x:v>
      </x:c>
      <x:c r="B68" s="26" t="str">
        <x:v>B067-067</x:v>
      </x:c>
      <x:c r="C68" s="22" t="n">
        <x:v>1</x:v>
      </x:c>
      <x:c r="D68" s="22" t="str">
        <x:v>1/1</x:v>
      </x:c>
      <x:c r="E68" s="26" t="str">
        <x:v>EP01-S05</x:v>
      </x:c>
      <x:c r="F68" s="20" t="str">
        <x:v>5절 재촉</x:v>
      </x:c>
      <x:c r="G68" s="20" t="str">
        <x:v>CU 아인</x:v>
      </x:c>
      <x:c r="H68" s="22" t="str">
        <x:v>🤫</x:v>
      </x:c>
      <x:c r="I68" s="24" t="str">
        <x:v>04-1-3</x:v>
      </x:c>
      <x:c r="J68" s="20" t="str">
        <x:v>대장간 근접판</x:v>
      </x:c>
      <x:c r="K68" s="16" t="str">
        <x:v>봤다. 시선이 손에 머물렀다 떨어진다</x:v>
      </x:c>
      <x:c r="L68" s="16" t="str">
        <x:v>봤다. 시선이 손에 머물렀다 떨어진다</x:v>
      </x:c>
      <x:c r="M68" s="16" t="str"/>
      <x:c r="N68" s="16" t="str"/>
      <x:c r="O68" s="16" t="str">
        <x:v>400px · 여백 극</x:v>
      </x:c>
      <x:c r="P68" s="16" t="str">
        <x:v>A young woman's eyes looking down at something off-frame, then away. No expression change.</x:v>
      </x:c>
      <x:c r="Q68" s="16" t="str">
        <x:v>CRAFT_DEBT</x:v>
      </x:c>
      <x:c r="R68" s="16" t="str">
        <x:v>SILENT_ACTING</x:v>
      </x:c>
      <x:c r="S68" s="16" t="str">
        <x:v>한 장인의 몸과 낫에 축적된 시간·빚을 보여줌</x:v>
      </x:c>
      <x:c r="T68" s="16" t="str">
        <x:v>침묵한 반응의 이유를 후발 정보로 다시 읽음 / EP18 이후 한 장인의 침묵과 떨림이 마지막 준비로 읽힘</x:v>
      </x:c>
      <x:c r="U68" s="16" t="str">
        <x:v>손 / 놓침 / 책임</x:v>
      </x:c>
      <x:c r="V68" s="16" t="str">
        <x:v>대장간 검사·무기 상태·제작 NPC 관계</x:v>
      </x:c>
      <x:c r="W68" s="16" t="str">
        <x:v>PAYOFF: EP18: 한 장인의 마지막 장검·사망</x:v>
      </x:c>
      <x:c r="X68" s="22" t="str">
        <x:v>PAYOFF</x:v>
      </x:c>
      <x:c r="Y68" s="16" t="str">
        <x:v>대사 금지 또는 응답 없는 침묵 유지 / 아인 왼쪽 견갑·오른쪽 건틀릿 좌우 고정 / GLOBAL-VIS-01</x:v>
      </x:c>
      <x:c r="Z68" s="22" t="str">
        <x:v>SOURCE</x:v>
      </x:c>
      <x:c r="AA68" s="22"/>
      <x:c r="AB68" s="16"/>
      <x:c r="AC68" s="16" t="str">
        <x:v>EP01_대본_전량_001-282(2).md</x:v>
      </x:c>
      <x:c r="AD68" s="22" t="n">
        <x:v>861</x:v>
      </x:c>
      <x:c r="AE68" s="139" t="str">
        <x:v>PUBLIC_CANON</x:v>
      </x:c>
      <x:c r="AF68" s="139" t="str">
        <x:v>CONTRACT</x:v>
      </x:c>
    </x:row>
    <x:row r="69" ht="72" customHeight="1">
      <x:c r="A69" s="24" t="str">
        <x:v>068</x:v>
      </x:c>
      <x:c r="B69" s="26" t="str">
        <x:v>B068-068</x:v>
      </x:c>
      <x:c r="C69" s="22" t="n">
        <x:v>1</x:v>
      </x:c>
      <x:c r="D69" s="22" t="str">
        <x:v>1/1</x:v>
      </x:c>
      <x:c r="E69" s="26" t="str">
        <x:v>EP01-S05</x:v>
      </x:c>
      <x:c r="F69" s="20" t="str">
        <x:v>5절 재촉</x:v>
      </x:c>
      <x:c r="G69" s="20" t="str">
        <x:v>MS</x:v>
      </x:c>
      <x:c r="H69" s="22" t="str">
        <x:v>🤫</x:v>
      </x:c>
      <x:c r="I69" s="24" t="str">
        <x:v>04-1-3</x:v>
      </x:c>
      <x:c r="J69" s="20" t="str">
        <x:v>대장간 근접판</x:v>
      </x:c>
      <x:c r="K69" s="16" t="str">
        <x:v>아인이 아무 말도 하지 않는다</x:v>
      </x:c>
      <x:c r="L69" s="16" t="str">
        <x:v>아인이 아무 말도 하지 않는다</x:v>
      </x:c>
      <x:c r="M69" s="16" t="str"/>
      <x:c r="N69" s="16" t="str"/>
      <x:c r="O69" s="16" t="str">
        <x:v>400px · 여백 극</x:v>
      </x:c>
      <x:c r="P69" s="16" t="str">
        <x:v>A young woman standing still in forge light, saying nothing.</x:v>
      </x:c>
      <x:c r="Q69" s="16" t="str">
        <x:v>CRAFT_DEBT</x:v>
      </x:c>
      <x:c r="R69" s="16" t="str">
        <x:v>SILENT_ACTING</x:v>
      </x:c>
      <x:c r="S69" s="16" t="str">
        <x:v>한 장인의 몸과 낫에 축적된 시간·빚을 보여줌</x:v>
      </x:c>
      <x:c r="T69" s="16" t="str">
        <x:v>침묵한 반응의 이유를 후발 정보로 다시 읽음 / EP18 이후 한 장인의 침묵과 떨림이 마지막 준비로 읽힘</x:v>
      </x:c>
      <x:c r="U69" s="16" t="str">
        <x:v>선택 / 대가 / 침묵</x:v>
      </x:c>
      <x:c r="V69" s="16" t="str">
        <x:v>대장간 검사·무기 상태·제작 NPC 관계</x:v>
      </x:c>
      <x:c r="W69" s="16" t="str">
        <x:v>PAYOFF: EP18: 한 장인의 마지막 장검·사망</x:v>
      </x:c>
      <x:c r="X69" s="22" t="str">
        <x:v>PAYOFF</x:v>
      </x:c>
      <x:c r="Y69" s="16" t="str">
        <x:v>대사 금지 또는 응답 없는 침묵 유지 / 아인 왼쪽 견갑·오른쪽 건틀릿 좌우 고정 / GLOBAL-VIS-01</x:v>
      </x:c>
      <x:c r="Z69" s="22" t="str">
        <x:v>SOURCE</x:v>
      </x:c>
      <x:c r="AA69" s="22"/>
      <x:c r="AB69" s="16"/>
      <x:c r="AC69" s="16" t="str">
        <x:v>EP01_대본_전량_001-282(2).md</x:v>
      </x:c>
      <x:c r="AD69" s="22" t="n">
        <x:v>873</x:v>
      </x:c>
      <x:c r="AE69" s="139" t="str">
        <x:v>PUBLIC_CANON</x:v>
      </x:c>
      <x:c r="AF69" s="139" t="str">
        <x:v>CONTRACT</x:v>
      </x:c>
    </x:row>
    <x:row r="70" ht="72" customHeight="1">
      <x:c r="A70" s="24" t="str">
        <x:v>069</x:v>
      </x:c>
      <x:c r="B70" s="26" t="str">
        <x:v>B069-069</x:v>
      </x:c>
      <x:c r="C70" s="22" t="n">
        <x:v>1</x:v>
      </x:c>
      <x:c r="D70" s="22" t="str">
        <x:v>1/1</x:v>
      </x:c>
      <x:c r="E70" s="26" t="str">
        <x:v>EP01-S05</x:v>
      </x:c>
      <x:c r="F70" s="20" t="str">
        <x:v>5절 재촉</x:v>
      </x:c>
      <x:c r="G70" s="20" t="str">
        <x:v>MS 한 장인</x:v>
      </x:c>
      <x:c r="H70" s="22" t="str"/>
      <x:c r="I70" s="24" t="str">
        <x:v>04-1</x:v>
      </x:c>
      <x:c r="J70" s="20" t="str">
        <x:v>대장간</x:v>
      </x:c>
      <x:c r="K70" s="16" t="str">
        <x:v>낫을 돌려준다. 여전히 눈은 안 마주친다</x:v>
      </x:c>
      <x:c r="L70" s="16" t="str">
        <x:v>낫을 돌려준다. 여전히 눈은 안 마주친다</x:v>
      </x:c>
      <x:c r="M70" s="16" t="str">
        <x:v>대사 · 장인: 「…날은 살아 있다.」</x:v>
      </x:c>
      <x:c r="N70" s="16" t="str"/>
      <x:c r="O70" s="16" t="str">
        <x:v>430px · 여백 중</x:v>
      </x:c>
      <x:c r="P70" s="16" t="str">
        <x:v>An old craftsman handing a scythe back, not making eye contact.</x:v>
      </x:c>
      <x:c r="Q70" s="16" t="str">
        <x:v>CRAFT_DEBT</x:v>
      </x:c>
      <x:c r="R70" s="16" t="str"/>
      <x:c r="S70" s="16" t="str">
        <x:v>한 장인의 몸과 낫에 축적된 시간·빚을 보여줌</x:v>
      </x:c>
      <x:c r="T70" s="16" t="str">
        <x:v>EP18 이후 한 장인의 침묵과 떨림이 마지막 준비로 읽힘</x:v>
      </x:c>
      <x:c r="U70" s="16" t="str">
        <x:v>거리 / 박자 / 원</x:v>
      </x:c>
      <x:c r="V70" s="16" t="str">
        <x:v>대장간 검사·무기 상태·제작 NPC 관계</x:v>
      </x:c>
      <x:c r="W70" s="16" t="str">
        <x:v>PAYOFF: EP18: 한 장인의 마지막 장검·사망</x:v>
      </x:c>
      <x:c r="X70" s="22" t="str">
        <x:v>PAYOFF</x:v>
      </x:c>
      <x:c r="Y70" s="16" t="str">
        <x:v>GLOBAL-VIS-01</x:v>
      </x:c>
      <x:c r="Z70" s="22" t="str">
        <x:v>SOURCE</x:v>
      </x:c>
      <x:c r="AA70" s="22"/>
      <x:c r="AB70" s="16"/>
      <x:c r="AC70" s="16" t="str">
        <x:v>EP01_대본_전량_001-282(2).md</x:v>
      </x:c>
      <x:c r="AD70" s="22" t="n">
        <x:v>885</x:v>
      </x:c>
      <x:c r="AE70" s="139" t="str">
        <x:v>PUBLIC_CANON</x:v>
      </x:c>
      <x:c r="AF70" s="139" t="str">
        <x:v>CONTRACT</x:v>
      </x:c>
    </x:row>
    <x:row r="71" ht="72" customHeight="1">
      <x:c r="A71" s="24" t="str">
        <x:v>070</x:v>
      </x:c>
      <x:c r="B71" s="26" t="str">
        <x:v>B070-070</x:v>
      </x:c>
      <x:c r="C71" s="22" t="n">
        <x:v>1</x:v>
      </x:c>
      <x:c r="D71" s="22" t="str">
        <x:v>1/1</x:v>
      </x:c>
      <x:c r="E71" s="26" t="str">
        <x:v>EP01-S05</x:v>
      </x:c>
      <x:c r="F71" s="20" t="str">
        <x:v>5절 재촉</x:v>
      </x:c>
      <x:c r="G71" s="20" t="str">
        <x:v>CU 아인</x:v>
      </x:c>
      <x:c r="H71" s="22" t="str"/>
      <x:c r="I71" s="24" t="str">
        <x:v>04-1</x:v>
      </x:c>
      <x:c r="J71" s="20" t="str">
        <x:v>대장간</x:v>
      </x:c>
      <x:c r="K71" s="16" t="str">
        <x:v>받는다. 고개만 까딱</x:v>
      </x:c>
      <x:c r="L71" s="16" t="str">
        <x:v>받는다. 고개만 까딱</x:v>
      </x:c>
      <x:c r="M71" s="16" t="str"/>
      <x:c r="N71" s="16" t="str"/>
      <x:c r="O71" s="16" t="str">
        <x:v>400px · 여백 넓</x:v>
      </x:c>
      <x:c r="P71" s="16" t="str">
        <x:v>A young woman taking the scythe with only a small nod.</x:v>
      </x:c>
      <x:c r="Q71" s="16" t="str">
        <x:v>CRAFT_DEBT</x:v>
      </x:c>
      <x:c r="R71" s="16" t="str"/>
      <x:c r="S71" s="16" t="str">
        <x:v>한 장인의 몸과 낫에 축적된 시간·빚을 보여줌</x:v>
      </x:c>
      <x:c r="T71" s="16" t="str">
        <x:v>EP18 이후 한 장인의 침묵과 떨림이 마지막 준비로 읽힘</x:v>
      </x:c>
      <x:c r="U71" s="16" t="str">
        <x:v>선택 / 대가 / 침묵</x:v>
      </x:c>
      <x:c r="V71" s="16" t="str">
        <x:v>대장간 검사·무기 상태·제작 NPC 관계</x:v>
      </x:c>
      <x:c r="W71" s="16" t="str">
        <x:v>PAYOFF: EP18: 한 장인의 마지막 장검·사망</x:v>
      </x:c>
      <x:c r="X71" s="22" t="str">
        <x:v>PAYOFF</x:v>
      </x:c>
      <x:c r="Y71" s="16" t="str">
        <x:v>아인 왼쪽 견갑·오른쪽 건틀릿 좌우 고정 / GLOBAL-VIS-01</x:v>
      </x:c>
      <x:c r="Z71" s="22" t="str">
        <x:v>SOURCE</x:v>
      </x:c>
      <x:c r="AA71" s="22"/>
      <x:c r="AB71" s="16"/>
      <x:c r="AC71" s="16" t="str">
        <x:v>EP01_대본_전량_001-282(2).md</x:v>
      </x:c>
      <x:c r="AD71" s="22" t="n">
        <x:v>898</x:v>
      </x:c>
      <x:c r="AE71" s="139" t="str">
        <x:v>PUBLIC_CANON</x:v>
      </x:c>
      <x:c r="AF71" s="139" t="str">
        <x:v>CONTRACT</x:v>
      </x:c>
    </x:row>
    <x:row r="72" ht="72" customHeight="1">
      <x:c r="A72" s="24" t="str">
        <x:v>071</x:v>
      </x:c>
      <x:c r="B72" s="26" t="str">
        <x:v>B071-071</x:v>
      </x:c>
      <x:c r="C72" s="22" t="n">
        <x:v>1</x:v>
      </x:c>
      <x:c r="D72" s="22" t="str">
        <x:v>1/1</x:v>
      </x:c>
      <x:c r="E72" s="26" t="str">
        <x:v>EP01-S05</x:v>
      </x:c>
      <x:c r="F72" s="20" t="str">
        <x:v>5절 재촉</x:v>
      </x:c>
      <x:c r="G72" s="20" t="str">
        <x:v>회상 세로 4단</x:v>
      </x:c>
      <x:c r="H72" s="22" t="str">
        <x:v>🟤</x:v>
      </x:c>
      <x:c r="I72" s="24" t="str">
        <x:v>04-1-4</x:v>
      </x:c>
      <x:c r="J72" s="20" t="str">
        <x:v>대장간 세피아</x:v>
      </x:c>
      <x:c r="K72" s="16" t="str">
        <x:v>① 강관을 지고 오는 굽은 등 ② 이중 구조로 짜는 손 ③ 칼날을 붙이는 불꽃 ④ 벼려지는 날</x:v>
      </x:c>
      <x:c r="L72" s="16" t="str">
        <x:v>① 강관을 지고 오는 굽은 등 ② 이중 구조로 짜는 손 ③ 칼날을 붙이는 불꽃 ④ 벼려지는 날</x:v>
      </x:c>
      <x:c r="M72" s="16" t="str">
        <x:v>나레이션: 넉 달이 걸렸다.</x:v>
      </x:c>
      <x:c r="N72" s="16" t="str"/>
      <x:c r="O72" s="16" t="str">
        <x:v>1,100px · 여백 극</x:v>
      </x:c>
      <x:c r="P72" s="16" t="str">
        <x:v>SEPIA TONED memory. Four stacked panels: a bent back carrying steel pipe, hands assembling a double-layered shaft, sparks welding a blade, a blade being tempered. Desaturated warm brown.</x:v>
      </x:c>
      <x:c r="Q72" s="16" t="str">
        <x:v>CRAFT_DEBT</x:v>
      </x:c>
      <x:c r="R72" s="16" t="str">
        <x:v>MEMORY_TONE</x:v>
      </x:c>
      <x:c r="S72" s="16" t="str">
        <x:v>한 장인의 몸과 낫에 축적된 시간·빚을 보여줌</x:v>
      </x:c>
      <x:c r="T72" s="16" t="str">
        <x:v>EP18 이후 한 장인의 침묵과 떨림이 마지막 준비로 읽힘</x:v>
      </x:c>
      <x:c r="U72" s="16" t="str">
        <x:v>손 / 놓침 / 책임 / 거리</x:v>
      </x:c>
      <x:c r="V72" s="16" t="str">
        <x:v>대장간 검사·무기 상태·제작 NPC 관계</x:v>
      </x:c>
      <x:c r="W72" s="16" t="str">
        <x:v>PAYOFF: EP18: 한 장인의 마지막 장검·사망</x:v>
      </x:c>
      <x:c r="X72" s="22" t="str">
        <x:v>PAYOFF</x:v>
      </x:c>
      <x:c r="Y72" s="16" t="str">
        <x:v>GLOBAL-VIS-01</x:v>
      </x:c>
      <x:c r="Z72" s="22" t="str">
        <x:v>SOURCE</x:v>
      </x:c>
      <x:c r="AA72" s="22"/>
      <x:c r="AB72" s="16"/>
      <x:c r="AC72" s="16" t="str">
        <x:v>EP01_대본_전량_001-282(2).md</x:v>
      </x:c>
      <x:c r="AD72" s="22" t="n">
        <x:v>910</x:v>
      </x:c>
      <x:c r="AE72" s="139" t="str">
        <x:v>PUBLIC_CANON</x:v>
      </x:c>
      <x:c r="AF72" s="139" t="str">
        <x:v>CONTRACT</x:v>
      </x:c>
    </x:row>
    <x:row r="73" ht="72" customHeight="1">
      <x:c r="A73" s="24" t="str">
        <x:v>072</x:v>
      </x:c>
      <x:c r="B73" s="26" t="str">
        <x:v>B072-072</x:v>
      </x:c>
      <x:c r="C73" s="22" t="n">
        <x:v>1</x:v>
      </x:c>
      <x:c r="D73" s="22" t="str">
        <x:v>1/1</x:v>
      </x:c>
      <x:c r="E73" s="26" t="str">
        <x:v>EP01-S05</x:v>
      </x:c>
      <x:c r="F73" s="20" t="str">
        <x:v>5절 재촉</x:v>
      </x:c>
      <x:c r="G73" s="20" t="str">
        <x:v>MS</x:v>
      </x:c>
      <x:c r="H73" s="22" t="str"/>
      <x:c r="I73" s="24" t="str">
        <x:v>04-1</x:v>
      </x:c>
      <x:c r="J73" s="20" t="str">
        <x:v>대장간</x:v>
      </x:c>
      <x:c r="K73" s="16" t="str">
        <x:v>현재. 화로 앞. 색이 돌아온다</x:v>
      </x:c>
      <x:c r="L73" s="16" t="str">
        <x:v>현재. 화로 앞. 색이 돌아온다</x:v>
      </x:c>
      <x:c r="M73" s="16" t="str">
        <x:v>나레이션: 값은 아직 다 못 냈다. 2년째다.</x:v>
      </x:c>
      <x:c r="N73" s="16" t="str"/>
      <x:c r="O73" s="16" t="str">
        <x:v>400px · 여백 중</x:v>
      </x:c>
      <x:c r="P73" s="16" t="str">
        <x:v>Back to present. The forge front, color restored.</x:v>
      </x:c>
      <x:c r="Q73" s="16" t="str">
        <x:v>CRAFT_DEBT</x:v>
      </x:c>
      <x:c r="R73" s="16" t="str"/>
      <x:c r="S73" s="16" t="str">
        <x:v>한 장인의 몸과 낫에 축적된 시간·빚을 보여줌</x:v>
      </x:c>
      <x:c r="T73" s="16" t="str">
        <x:v>EP18 이후 한 장인의 침묵과 떨림이 마지막 준비로 읽힘</x:v>
      </x:c>
      <x:c r="U73" s="16" t="str">
        <x:v>빚 / 노동 / 재촉 없음</x:v>
      </x:c>
      <x:c r="V73" s="16" t="str">
        <x:v>대장간 검사·무기 상태·제작 NPC 관계</x:v>
      </x:c>
      <x:c r="W73" s="16" t="str">
        <x:v>PAYOFF: EP18: 한 장인의 마지막 장검·사망</x:v>
      </x:c>
      <x:c r="X73" s="22" t="str">
        <x:v>PAYOFF</x:v>
      </x:c>
      <x:c r="Y73" s="16" t="str">
        <x:v>GLOBAL-VIS-01</x:v>
      </x:c>
      <x:c r="Z73" s="22" t="str">
        <x:v>SOURCE</x:v>
      </x:c>
      <x:c r="AA73" s="22"/>
      <x:c r="AB73" s="16"/>
      <x:c r="AC73" s="16" t="str">
        <x:v>EP01_대본_전량_001-282(2).md</x:v>
      </x:c>
      <x:c r="AD73" s="22" t="n">
        <x:v>923</x:v>
      </x:c>
      <x:c r="AE73" s="139" t="str">
        <x:v>PUBLIC_CANON</x:v>
      </x:c>
      <x:c r="AF73" s="139" t="str">
        <x:v>CONTRACT</x:v>
      </x:c>
    </x:row>
    <x:row r="74" ht="72" customHeight="1">
      <x:c r="A74" s="24" t="str">
        <x:v>073</x:v>
      </x:c>
      <x:c r="B74" s="26" t="str">
        <x:v>B073-073</x:v>
      </x:c>
      <x:c r="C74" s="22" t="n">
        <x:v>1</x:v>
      </x:c>
      <x:c r="D74" s="22" t="str">
        <x:v>1/1</x:v>
      </x:c>
      <x:c r="E74" s="26" t="str">
        <x:v>EP01-S05</x:v>
      </x:c>
      <x:c r="F74" s="20" t="str">
        <x:v>5절 재촉</x:v>
      </x:c>
      <x:c r="G74" s="20" t="str">
        <x:v>CU</x:v>
      </x:c>
      <x:c r="H74" s="22" t="str">
        <x:v>🤫</x:v>
      </x:c>
      <x:c r="I74" s="24" t="str">
        <x:v>04-1-1</x:v>
      </x:c>
      <x:c r="J74" s="20" t="str">
        <x:v>작업대 부감</x:v>
      </x:c>
      <x:c r="K74" s="16" t="str">
        <x:v>주머니에서 나노 칩을 꺼낸다</x:v>
      </x:c>
      <x:c r="L74" s="16" t="str">
        <x:v>주머니에서 나노 칩을 꺼낸다</x:v>
      </x:c>
      <x:c r="M74" s="16" t="str"/>
      <x:c r="N74" s="16" t="str"/>
      <x:c r="O74" s="16" t="str">
        <x:v>360px · 여백 좁</x:v>
      </x:c>
      <x:c r="P74" s="16" t="str">
        <x:v>Top down. A hand pulling a small chip from a pocket onto a worktable.</x:v>
      </x:c>
      <x:c r="Q74" s="16" t="str">
        <x:v>ECONOMIC_MOTIVE</x:v>
      </x:c>
      <x:c r="R74" s="16" t="str">
        <x:v>SILENT_ACTING</x:v>
      </x:c>
      <x:c r="S74" s="16" t="str">
        <x:v>등록을 택하게 한 생활비와 책임의 압력을 제시</x:v>
      </x:c>
      <x:c r="T74" s="16" t="str">
        <x:v>침묵한 반응의 이유를 후발 정보로 다시 읽음 / EP18 이후 한 장인의 침묵과 떨림이 마지막 준비로 읽힘</x:v>
      </x:c>
      <x:c r="U74" s="16" t="str">
        <x:v>빚 / 노동 / 재촉 없음</x:v>
      </x:c>
      <x:c r="V74" s="16" t="str">
        <x:v>칩 지불·부채·의뢰 해금 경제 루프</x:v>
      </x:c>
      <x:c r="W74" s="16" t="str">
        <x:v>PAYOFF: EP18: 한 장인의 마지막 장검·사망</x:v>
      </x:c>
      <x:c r="X74" s="22" t="str">
        <x:v>PAYOFF</x:v>
      </x:c>
      <x:c r="Y74" s="16" t="str">
        <x:v>대사 금지 또는 응답 없는 침묵 유지 / GLOBAL-VIS-01</x:v>
      </x:c>
      <x:c r="Z74" s="22" t="str">
        <x:v>SOURCE</x:v>
      </x:c>
      <x:c r="AA74" s="22"/>
      <x:c r="AB74" s="16"/>
      <x:c r="AC74" s="16" t="str">
        <x:v>EP01_대본_전량_001-282(2).md</x:v>
      </x:c>
      <x:c r="AD74" s="22" t="n">
        <x:v>936</x:v>
      </x:c>
      <x:c r="AE74" s="139" t="str">
        <x:v>PUBLIC_CANON</x:v>
      </x:c>
      <x:c r="AF74" s="139" t="str">
        <x:v>CONTRACT</x:v>
      </x:c>
    </x:row>
    <x:row r="75" ht="72" customHeight="1">
      <x:c r="A75" s="24" t="str">
        <x:v>074</x:v>
      </x:c>
      <x:c r="B75" s="26" t="str">
        <x:v>B074-074</x:v>
      </x:c>
      <x:c r="C75" s="22" t="n">
        <x:v>1</x:v>
      </x:c>
      <x:c r="D75" s="22" t="str">
        <x:v>1/1</x:v>
      </x:c>
      <x:c r="E75" s="26" t="str">
        <x:v>EP01-S05</x:v>
      </x:c>
      <x:c r="F75" s="20" t="str">
        <x:v>5절 재촉</x:v>
      </x:c>
      <x:c r="G75" s="20" t="str">
        <x:v>인서트</x:v>
      </x:c>
      <x:c r="H75" s="22" t="str">
        <x:v>🤫</x:v>
      </x:c>
      <x:c r="I75" s="24" t="str">
        <x:v>04-1-1</x:v>
      </x:c>
      <x:c r="J75" s="20" t="str">
        <x:v>작업대 부감</x:v>
      </x:c>
      <x:c r="K75" s="16" t="str">
        <x:v>작업대 위로 칩을 밀어 놓는다</x:v>
      </x:c>
      <x:c r="L75" s="16" t="str">
        <x:v>작업대 위로 칩을 밀어 놓는다</x:v>
      </x:c>
      <x:c r="M75" s="16" t="str"/>
      <x:c r="N75" s="16" t="str"/>
      <x:c r="O75" s="16" t="str">
        <x:v>340px · 여백 좁</x:v>
      </x:c>
      <x:c r="P75" s="16" t="str">
        <x:v>Top down. A hand pushing a chip across a worktable.</x:v>
      </x:c>
      <x:c r="Q75" s="16" t="str">
        <x:v>ECONOMIC_MOTIVE</x:v>
      </x:c>
      <x:c r="R75" s="16" t="str">
        <x:v>SILENT_ACTING</x:v>
      </x:c>
      <x:c r="S75" s="16" t="str">
        <x:v>등록을 택하게 한 생활비와 책임의 압력을 제시</x:v>
      </x:c>
      <x:c r="T75" s="16" t="str">
        <x:v>침묵한 반응의 이유를 후발 정보로 다시 읽음 / EP18 이후 한 장인의 침묵과 떨림이 마지막 준비로 읽힘</x:v>
      </x:c>
      <x:c r="U75" s="16" t="str">
        <x:v>빚 / 노동 / 재촉 없음</x:v>
      </x:c>
      <x:c r="V75" s="16" t="str">
        <x:v>칩 지불·부채·의뢰 해금 경제 루프</x:v>
      </x:c>
      <x:c r="W75" s="16" t="str">
        <x:v>PAYOFF: EP18: 한 장인의 마지막 장검·사망</x:v>
      </x:c>
      <x:c r="X75" s="22" t="str">
        <x:v>PAYOFF</x:v>
      </x:c>
      <x:c r="Y75" s="16" t="str">
        <x:v>대사 금지 또는 응답 없는 침묵 유지 / GLOBAL-VIS-01</x:v>
      </x:c>
      <x:c r="Z75" s="22" t="str">
        <x:v>SOURCE</x:v>
      </x:c>
      <x:c r="AA75" s="22"/>
      <x:c r="AB75" s="16"/>
      <x:c r="AC75" s="16" t="str">
        <x:v>EP01_대본_전량_001-282(2).md</x:v>
      </x:c>
      <x:c r="AD75" s="22" t="n">
        <x:v>948</x:v>
      </x:c>
      <x:c r="AE75" s="139" t="str">
        <x:v>PUBLIC_CANON</x:v>
      </x:c>
      <x:c r="AF75" s="139" t="str">
        <x:v>CONTRACT</x:v>
      </x:c>
    </x:row>
    <x:row r="76" ht="72" customHeight="1">
      <x:c r="A76" s="24" t="str">
        <x:v>075</x:v>
      </x:c>
      <x:c r="B76" s="26" t="str">
        <x:v>B075-075</x:v>
      </x:c>
      <x:c r="C76" s="22" t="n">
        <x:v>1</x:v>
      </x:c>
      <x:c r="D76" s="22" t="str">
        <x:v>1/1</x:v>
      </x:c>
      <x:c r="E76" s="26" t="str">
        <x:v>EP01-S05</x:v>
      </x:c>
      <x:c r="F76" s="20" t="str">
        <x:v>5절 재촉</x:v>
      </x:c>
      <x:c r="G76" s="20" t="str">
        <x:v>인서트</x:v>
      </x:c>
      <x:c r="H76" s="22" t="str">
        <x:v>🤫</x:v>
      </x:c>
      <x:c r="I76" s="24" t="str">
        <x:v>04-1-1</x:v>
      </x:c>
      <x:c r="J76" s="20" t="str">
        <x:v>작업대 부감</x:v>
      </x:c>
      <x:c r="K76" s="16" t="str">
        <x:v>한 장인의 손이 그것을 도로 민다</x:v>
      </x:c>
      <x:c r="L76" s="16" t="str">
        <x:v>한 장인의 손이 그것을 도로 민다</x:v>
      </x:c>
      <x:c r="M76" s="16" t="str"/>
      <x:c r="N76" s="16" t="str"/>
      <x:c r="O76" s="16" t="str">
        <x:v>340px · 여백 좁</x:v>
      </x:c>
      <x:c r="P76" s="16" t="str">
        <x:v>Top down. An older hand pushing the chip back.</x:v>
      </x:c>
      <x:c r="Q76" s="16" t="str">
        <x:v>ECONOMIC_MOTIVE</x:v>
      </x:c>
      <x:c r="R76" s="16" t="str">
        <x:v>SILENT_ACTING</x:v>
      </x:c>
      <x:c r="S76" s="16" t="str">
        <x:v>등록을 택하게 한 생활비와 책임의 압력을 제시</x:v>
      </x:c>
      <x:c r="T76" s="16" t="str">
        <x:v>침묵한 반응의 이유를 후발 정보로 다시 읽음 / EP18 이후 한 장인의 침묵과 떨림이 마지막 준비로 읽힘</x:v>
      </x:c>
      <x:c r="U76" s="16" t="str">
        <x:v>손 / 놓침 / 책임 / 빚</x:v>
      </x:c>
      <x:c r="V76" s="16" t="str">
        <x:v>칩 지불·부채·의뢰 해금 경제 루프</x:v>
      </x:c>
      <x:c r="W76" s="16" t="str">
        <x:v>PAYOFF: EP18: 한 장인의 마지막 장검·사망</x:v>
      </x:c>
      <x:c r="X76" s="22" t="str">
        <x:v>PAYOFF</x:v>
      </x:c>
      <x:c r="Y76" s="16" t="str">
        <x:v>대사 금지 또는 응답 없는 침묵 유지 / GLOBAL-VIS-01</x:v>
      </x:c>
      <x:c r="Z76" s="22" t="str">
        <x:v>SOURCE</x:v>
      </x:c>
      <x:c r="AA76" s="22"/>
      <x:c r="AB76" s="16"/>
      <x:c r="AC76" s="16" t="str">
        <x:v>EP01_대본_전량_001-282(2).md</x:v>
      </x:c>
      <x:c r="AD76" s="22" t="n">
        <x:v>960</x:v>
      </x:c>
      <x:c r="AE76" s="139" t="str">
        <x:v>PUBLIC_CANON</x:v>
      </x:c>
      <x:c r="AF76" s="139" t="str">
        <x:v>CONTRACT</x:v>
      </x:c>
    </x:row>
    <x:row r="77" ht="72" customHeight="1">
      <x:c r="A77" s="24" t="str">
        <x:v>076</x:v>
      </x:c>
      <x:c r="B77" s="26" t="str">
        <x:v>B076-076</x:v>
      </x:c>
      <x:c r="C77" s="22" t="n">
        <x:v>1</x:v>
      </x:c>
      <x:c r="D77" s="22" t="str">
        <x:v>1/1</x:v>
      </x:c>
      <x:c r="E77" s="26" t="str">
        <x:v>EP01-S05</x:v>
      </x:c>
      <x:c r="F77" s="20" t="str">
        <x:v>5절 재촉</x:v>
      </x:c>
      <x:c r="G77" s="20" t="str">
        <x:v>인서트</x:v>
      </x:c>
      <x:c r="H77" s="22" t="str">
        <x:v>🤫</x:v>
      </x:c>
      <x:c r="I77" s="24" t="str">
        <x:v>04-1-1</x:v>
      </x:c>
      <x:c r="J77" s="20" t="str">
        <x:v>작업대 부감</x:v>
      </x:c>
      <x:c r="K77" s="16" t="str">
        <x:v>아인이 다시 민다</x:v>
      </x:c>
      <x:c r="L77" s="16" t="str">
        <x:v>아인이 다시 민다</x:v>
      </x:c>
      <x:c r="M77" s="16" t="str"/>
      <x:c r="N77" s="16" t="str"/>
      <x:c r="O77" s="16" t="str">
        <x:v>340px · 여백 좁</x:v>
      </x:c>
      <x:c r="P77" s="16" t="str">
        <x:v>Top down. The younger hand pushing it forward again.</x:v>
      </x:c>
      <x:c r="Q77" s="16" t="str">
        <x:v>ECONOMIC_MOTIVE</x:v>
      </x:c>
      <x:c r="R77" s="16" t="str">
        <x:v>SILENT_ACTING</x:v>
      </x:c>
      <x:c r="S77" s="16" t="str">
        <x:v>등록을 택하게 한 생활비와 책임의 압력을 제시</x:v>
      </x:c>
      <x:c r="T77" s="16" t="str">
        <x:v>침묵한 반응의 이유를 후발 정보로 다시 읽음 / EP18 이후 한 장인의 침묵과 떨림이 마지막 준비로 읽힘</x:v>
      </x:c>
      <x:c r="U77" s="16" t="str">
        <x:v>선택 / 대가 / 침묵</x:v>
      </x:c>
      <x:c r="V77" s="16" t="str">
        <x:v>칩 지불·부채·의뢰 해금 경제 루프</x:v>
      </x:c>
      <x:c r="W77" s="16" t="str">
        <x:v>PAYOFF: EP18: 한 장인의 마지막 장검·사망</x:v>
      </x:c>
      <x:c r="X77" s="22" t="str">
        <x:v>PAYOFF</x:v>
      </x:c>
      <x:c r="Y77" s="16" t="str">
        <x:v>대사 금지 또는 응답 없는 침묵 유지 / 아인 왼쪽 견갑·오른쪽 건틀릿 좌우 고정 / GLOBAL-VIS-01</x:v>
      </x:c>
      <x:c r="Z77" s="22" t="str">
        <x:v>SOURCE</x:v>
      </x:c>
      <x:c r="AA77" s="22"/>
      <x:c r="AB77" s="16"/>
      <x:c r="AC77" s="16" t="str">
        <x:v>EP01_대본_전량_001-282(2).md</x:v>
      </x:c>
      <x:c r="AD77" s="22" t="n">
        <x:v>972</x:v>
      </x:c>
      <x:c r="AE77" s="139" t="str">
        <x:v>PUBLIC_CANON</x:v>
      </x:c>
      <x:c r="AF77" s="139" t="str">
        <x:v>CONTRACT</x:v>
      </x:c>
    </x:row>
    <x:row r="78" ht="72" customHeight="1">
      <x:c r="A78" s="24" t="str">
        <x:v>077</x:v>
      </x:c>
      <x:c r="B78" s="26" t="str">
        <x:v>B077-077</x:v>
      </x:c>
      <x:c r="C78" s="22" t="n">
        <x:v>1</x:v>
      </x:c>
      <x:c r="D78" s="22" t="str">
        <x:v>1/1</x:v>
      </x:c>
      <x:c r="E78" s="26" t="str">
        <x:v>EP01-S05</x:v>
      </x:c>
      <x:c r="F78" s="20" t="str">
        <x:v>5절 재촉</x:v>
      </x:c>
      <x:c r="G78" s="20" t="str">
        <x:v>인서트</x:v>
      </x:c>
      <x:c r="H78" s="22" t="str">
        <x:v>🤫</x:v>
      </x:c>
      <x:c r="I78" s="24" t="str">
        <x:v>04-1-1</x:v>
      </x:c>
      <x:c r="J78" s="20" t="str">
        <x:v>작업대 부감</x:v>
      </x:c>
      <x:c r="K78" s="16" t="str">
        <x:v>다시 돌아온다</x:v>
      </x:c>
      <x:c r="L78" s="16" t="str">
        <x:v>다시 돌아온다</x:v>
      </x:c>
      <x:c r="M78" s="16" t="str"/>
      <x:c r="N78" s="16" t="str"/>
      <x:c r="O78" s="16" t="str">
        <x:v>340px · 여백 좁</x:v>
      </x:c>
      <x:c r="P78" s="16" t="str">
        <x:v>Top down. The chip returns once more.</x:v>
      </x:c>
      <x:c r="Q78" s="16" t="str">
        <x:v>ECONOMIC_MOTIVE</x:v>
      </x:c>
      <x:c r="R78" s="16" t="str">
        <x:v>SILENT_ACTING</x:v>
      </x:c>
      <x:c r="S78" s="16" t="str">
        <x:v>등록을 택하게 한 생활비와 책임의 압력을 제시</x:v>
      </x:c>
      <x:c r="T78" s="16" t="str">
        <x:v>침묵한 반응의 이유를 후발 정보로 다시 읽음 / EP18 이후 한 장인의 침묵과 떨림이 마지막 준비로 읽힘</x:v>
      </x:c>
      <x:c r="U78" s="16" t="str">
        <x:v>선택 / 대가 / 침묵</x:v>
      </x:c>
      <x:c r="V78" s="16" t="str">
        <x:v>칩 지불·부채·의뢰 해금 경제 루프</x:v>
      </x:c>
      <x:c r="W78" s="16" t="str">
        <x:v>PAYOFF: EP18: 한 장인의 마지막 장검·사망</x:v>
      </x:c>
      <x:c r="X78" s="22" t="str">
        <x:v>PAYOFF</x:v>
      </x:c>
      <x:c r="Y78" s="16" t="str">
        <x:v>대사 금지 또는 응답 없는 침묵 유지 / GLOBAL-VIS-01</x:v>
      </x:c>
      <x:c r="Z78" s="22" t="str">
        <x:v>SOURCE</x:v>
      </x:c>
      <x:c r="AA78" s="22"/>
      <x:c r="AB78" s="16"/>
      <x:c r="AC78" s="16" t="str">
        <x:v>EP01_대본_전량_001-282(2).md</x:v>
      </x:c>
      <x:c r="AD78" s="22" t="n">
        <x:v>984</x:v>
      </x:c>
      <x:c r="AE78" s="139" t="str">
        <x:v>PUBLIC_CANON</x:v>
      </x:c>
      <x:c r="AF78" s="139" t="str">
        <x:v>CONTRACT</x:v>
      </x:c>
    </x:row>
    <x:row r="79" ht="72" customHeight="1">
      <x:c r="A79" s="24" t="str">
        <x:v>078</x:v>
      </x:c>
      <x:c r="B79" s="26" t="str">
        <x:v>B078-078</x:v>
      </x:c>
      <x:c r="C79" s="22" t="n">
        <x:v>1</x:v>
      </x:c>
      <x:c r="D79" s="22" t="str">
        <x:v>1/1</x:v>
      </x:c>
      <x:c r="E79" s="26" t="str">
        <x:v>EP01-S05</x:v>
      </x:c>
      <x:c r="F79" s="20" t="str">
        <x:v>5절 재촉</x:v>
      </x:c>
      <x:c r="G79" s="20" t="str">
        <x:v>MS 부감</x:v>
      </x:c>
      <x:c r="H79" s="22" t="str">
        <x:v>🤫🎭</x:v>
      </x:c>
      <x:c r="I79" s="24" t="str">
        <x:v>04-1-1</x:v>
      </x:c>
      <x:c r="J79" s="20" t="str">
        <x:v>작업대 부감</x:v>
      </x:c>
      <x:c r="K79" s="16" t="str">
        <x:v>작업대 위 칩 하나. 두 사람의 손이 프레임 양끝에</x:v>
      </x:c>
      <x:c r="L79" s="16" t="str">
        <x:v>작업대 위 칩 하나. 두 사람의 손이 프레임 양끝에</x:v>
      </x:c>
      <x:c r="M79" s="16" t="str"/>
      <x:c r="N79" s="16" t="str"/>
      <x:c r="O79" s="16" t="str">
        <x:v>430px · 여백 넓</x:v>
      </x:c>
      <x:c r="P79" s="16" t="str">
        <x:v>Top down of a worktable. One chip in the center. Two hands at opposite edges of the frame.</x:v>
      </x:c>
      <x:c r="Q79" s="16" t="str">
        <x:v>ECONOMIC_MOTIVE</x:v>
      </x:c>
      <x:c r="R79" s="16" t="str">
        <x:v>SILENT_ACTING / HUMAN_BEAT</x:v>
      </x:c>
      <x:c r="S79" s="16" t="str">
        <x:v>등록을 택하게 한 생활비와 책임의 압력을 제시</x:v>
      </x:c>
      <x:c r="T79" s="16" t="str">
        <x:v>침묵한 반응의 이유를 후발 정보로 다시 읽음 / EP18 이후 한 장인의 침묵과 떨림이 마지막 준비로 읽힘</x:v>
      </x:c>
      <x:c r="U79" s="16" t="str">
        <x:v>손 / 놓침 / 책임 / 빚</x:v>
      </x:c>
      <x:c r="V79" s="16" t="str">
        <x:v>칩 지불·부채·의뢰 해금 경제 루프</x:v>
      </x:c>
      <x:c r="W79" s="16" t="str">
        <x:v>PAYOFF: EP18: 한 장인의 마지막 장검·사망</x:v>
      </x:c>
      <x:c r="X79" s="22" t="str">
        <x:v>PAYOFF</x:v>
      </x:c>
      <x:c r="Y79" s="16" t="str">
        <x:v>대사 금지 또는 응답 없는 침묵 유지 / GLOBAL-VIS-01</x:v>
      </x:c>
      <x:c r="Z79" s="22" t="str">
        <x:v>SOURCE</x:v>
      </x:c>
      <x:c r="AA79" s="22"/>
      <x:c r="AB79" s="16"/>
      <x:c r="AC79" s="16" t="str">
        <x:v>EP01_대본_전량_001-282(2).md</x:v>
      </x:c>
      <x:c r="AD79" s="22" t="n">
        <x:v>996</x:v>
      </x:c>
      <x:c r="AE79" s="139" t="str">
        <x:v>PUBLIC_CANON</x:v>
      </x:c>
      <x:c r="AF79" s="139" t="str">
        <x:v>CONTRACT</x:v>
      </x:c>
    </x:row>
    <x:row r="80" ht="72" customHeight="1">
      <x:c r="A80" s="24" t="str">
        <x:v>079</x:v>
      </x:c>
      <x:c r="B80" s="26" t="str">
        <x:v>B079-079</x:v>
      </x:c>
      <x:c r="C80" s="22" t="n">
        <x:v>1</x:v>
      </x:c>
      <x:c r="D80" s="22" t="str">
        <x:v>1/1</x:v>
      </x:c>
      <x:c r="E80" s="26" t="str">
        <x:v>EP01-S05</x:v>
      </x:c>
      <x:c r="F80" s="20" t="str">
        <x:v>5절 재촉</x:v>
      </x:c>
      <x:c r="G80" s="20" t="str">
        <x:v>MS</x:v>
      </x:c>
      <x:c r="H80" s="22" t="str">
        <x:v>🤫</x:v>
      </x:c>
      <x:c r="I80" s="24" t="str">
        <x:v>04-1-3</x:v>
      </x:c>
      <x:c r="J80" s="20" t="str">
        <x:v>대장간 근접판</x:v>
      </x:c>
      <x:c r="K80" s="16" t="str">
        <x:v>아인이 칩을 도로 주머니에 넣는다</x:v>
      </x:c>
      <x:c r="L80" s="16" t="str">
        <x:v>아인이 칩을 도로 주머니에 넣는다</x:v>
      </x:c>
      <x:c r="M80" s="16" t="str">
        <x:v>나레이션: 재촉하지 않는 사람에게는 갚을 날짜가 없다. / 날짜가 없으면 언제까지고 미룰 수 있다.</x:v>
      </x:c>
      <x:c r="N80" s="16" t="str"/>
      <x:c r="O80" s="16" t="str">
        <x:v>430px · 여백 넓</x:v>
      </x:c>
      <x:c r="P80" s="16" t="str">
        <x:v>A hand returning the chip to a pocket.</x:v>
      </x:c>
      <x:c r="Q80" s="16" t="str">
        <x:v>ECONOMIC_MOTIVE</x:v>
      </x:c>
      <x:c r="R80" s="16" t="str">
        <x:v>SILENT_ACTING</x:v>
      </x:c>
      <x:c r="S80" s="16" t="str">
        <x:v>등록을 택하게 한 생활비와 책임의 압력을 제시</x:v>
      </x:c>
      <x:c r="T80" s="16" t="str">
        <x:v>침묵한 반응의 이유를 후발 정보로 다시 읽음 / EP18 이후 한 장인의 침묵과 떨림이 마지막 준비로 읽힘</x:v>
      </x:c>
      <x:c r="U80" s="16" t="str">
        <x:v>빚 / 노동 / 재촉 없음</x:v>
      </x:c>
      <x:c r="V80" s="16" t="str">
        <x:v>칩 지불·부채·의뢰 해금 경제 루프</x:v>
      </x:c>
      <x:c r="W80" s="16" t="str">
        <x:v>PAYOFF: EP18: 한 장인의 마지막 장검·사망</x:v>
      </x:c>
      <x:c r="X80" s="22" t="str">
        <x:v>PAYOFF</x:v>
      </x:c>
      <x:c r="Y80" s="16" t="str">
        <x:v>대사 금지 또는 응답 없는 침묵 유지 / 아인 왼쪽 견갑·오른쪽 건틀릿 좌우 고정 / GLOBAL-VIS-01</x:v>
      </x:c>
      <x:c r="Z80" s="22" t="str">
        <x:v>SOURCE</x:v>
      </x:c>
      <x:c r="AA80" s="22"/>
      <x:c r="AB80" s="16"/>
      <x:c r="AC80" s="16" t="str">
        <x:v>EP01_대본_전량_001-282(2).md</x:v>
      </x:c>
      <x:c r="AD80" s="22" t="n">
        <x:v>1008</x:v>
      </x:c>
      <x:c r="AE80" s="139" t="str">
        <x:v>PUBLIC_CANON</x:v>
      </x:c>
      <x:c r="AF80" s="139" t="str">
        <x:v>CONTRACT</x:v>
      </x:c>
    </x:row>
    <x:row r="81" ht="72" customHeight="1">
      <x:c r="A81" s="24" t="str">
        <x:v>080</x:v>
      </x:c>
      <x:c r="B81" s="26" t="str">
        <x:v>B080-080</x:v>
      </x:c>
      <x:c r="C81" s="22" t="n">
        <x:v>1</x:v>
      </x:c>
      <x:c r="D81" s="22" t="str">
        <x:v>1/1</x:v>
      </x:c>
      <x:c r="E81" s="26" t="str">
        <x:v>EP01-S05</x:v>
      </x:c>
      <x:c r="F81" s="20" t="str">
        <x:v>5절 재촉</x:v>
      </x:c>
      <x:c r="G81" s="20" t="str">
        <x:v>LOW</x:v>
      </x:c>
      <x:c r="H81" s="22" t="str">
        <x:v>⭐</x:v>
      </x:c>
      <x:c r="I81" s="24" t="str">
        <x:v>04-1-2</x:v>
      </x:c>
      <x:c r="J81" s="20" t="str">
        <x:v>평가소 간판</x:v>
      </x:c>
      <x:c r="K81" s="16" t="str">
        <x:v>통로 끝 낡은 간판 「각인 평가소」</x:v>
      </x:c>
      <x:c r="L81" s="16" t="str">
        <x:v>통로 끝 낡은 간판 「각인 평가소」</x:v>
      </x:c>
      <x:c r="M81" s="16" t="str">
        <x:v>나레이션: 그런데 이제는 미룰 수가 없어졌다.</x:v>
      </x:c>
      <x:c r="N81" s="16" t="str"/>
      <x:c r="O81" s="16" t="str">
        <x:v>470px · 여백 극</x:v>
      </x:c>
      <x:c r="P81" s="16" t="str">
        <x:v>Low angle. A worn sign at the end of a corridor reading in Korean. Cold light beyond.</x:v>
      </x:c>
      <x:c r="Q81" s="16" t="str">
        <x:v>ECONOMIC_MOTIVE</x:v>
      </x:c>
      <x:c r="R81" s="16" t="str">
        <x:v>SIGNATURE</x:v>
      </x:c>
      <x:c r="S81" s="16" t="str">
        <x:v>등록을 택하게 한 생활비와 책임의 압력을 제시</x:v>
      </x:c>
      <x:c r="T81" s="16" t="str">
        <x:v>시그니처 상징의 기원 / EP18 이후 한 장인의 침묵과 떨림이 마지막 준비로 읽힘</x:v>
      </x:c>
      <x:c r="U81" s="16" t="str">
        <x:v>선택 / 대가 / 침묵</x:v>
      </x:c>
      <x:c r="V81" s="16" t="str">
        <x:v>칩 지불·부채·의뢰 해금 경제 루프</x:v>
      </x:c>
      <x:c r="W81" s="16" t="str">
        <x:v>PAYOFF: EP18: 한 장인의 마지막 장검·사망</x:v>
      </x:c>
      <x:c r="X81" s="22" t="str">
        <x:v>PAYOFF</x:v>
      </x:c>
      <x:c r="Y81" s="16" t="str">
        <x:v>GLOBAL-VIS-01</x:v>
      </x:c>
      <x:c r="Z81" s="22" t="str">
        <x:v>SOURCE</x:v>
      </x:c>
      <x:c r="AA81" s="22"/>
      <x:c r="AB81" s="16"/>
      <x:c r="AC81" s="16" t="str">
        <x:v>EP01_대본_전량_001-282(2).md</x:v>
      </x:c>
      <x:c r="AD81" s="22" t="n">
        <x:v>1021</x:v>
      </x:c>
      <x:c r="AE81" s="139" t="str">
        <x:v>PUBLIC_CANON</x:v>
      </x:c>
      <x:c r="AF81" s="139" t="str">
        <x:v>CONTRACT</x:v>
      </x:c>
    </x:row>
    <x:row r="82" ht="72" customHeight="1">
      <x:c r="A82" s="24" t="str">
        <x:v>081</x:v>
      </x:c>
      <x:c r="B82" s="26" t="str">
        <x:v>B081-081</x:v>
      </x:c>
      <x:c r="C82" s="22" t="n">
        <x:v>1</x:v>
      </x:c>
      <x:c r="D82" s="22" t="str">
        <x:v>1/1</x:v>
      </x:c>
      <x:c r="E82" s="26" t="str">
        <x:v>EP01-S06</x:v>
      </x:c>
      <x:c r="F82" s="20" t="str">
        <x:v>6절 2년</x:v>
      </x:c>
      <x:c r="G82" s="20" t="str">
        <x:v>WIDE</x:v>
      </x:c>
      <x:c r="H82" s="22" t="str"/>
      <x:c r="I82" s="24" t="str">
        <x:v>05-1</x:v>
      </x:c>
      <x:c r="J82" s="20" t="str">
        <x:v>평가소</x:v>
      </x:c>
      <x:c r="K82" s="16" t="str">
        <x:v>평가소 전경. 측정기, 번호판 벽, 대기 의자</x:v>
      </x:c>
      <x:c r="L82" s="16" t="str">
        <x:v>평가소 전경. 측정기, 번호판 벽, 대기 의자</x:v>
      </x:c>
      <x:c r="M82" s="16" t="str"/>
      <x:c r="N82" s="16" t="str"/>
      <x:c r="O82" s="16" t="str">
        <x:v>430px · 여백 좁</x:v>
      </x:c>
      <x:c r="P82" s="16" t="str">
        <x:v>Wide cold institutional evaluation office. Measurement platform center, console right, numbered plates left.</x:v>
      </x:c>
      <x:c r="Q82" s="16" t="str">
        <x:v>RANK_ENTRY</x:v>
      </x:c>
      <x:c r="R82" s="16" t="str"/>
      <x:c r="S82" s="16" t="str">
        <x:v>2년 무등록의 이상함과 평가소의 냉정한 절차를 보여줌</x:v>
      </x:c>
      <x:c r="T82" s="16" t="str">
        <x:v>후속 정보가 생기면 행동·배경의 의미를 재검토</x:v>
      </x:c>
      <x:c r="U82" s="16" t="str">
        <x:v>선택 / 대가 / 침묵</x:v>
      </x:c>
      <x:c r="V82" s="16" t="str">
        <x:v>다이에제틱 평가 장치·등록 절차</x:v>
      </x:c>
      <x:c r="W82" s="16"/>
      <x:c r="X82" s="22" t="str">
        <x:v>NONE</x:v>
      </x:c>
      <x:c r="Y82" s="16" t="str">
        <x:v>GLOBAL-VIS-01</x:v>
      </x:c>
      <x:c r="Z82" s="22" t="str">
        <x:v>SOURCE</x:v>
      </x:c>
      <x:c r="AA82" s="22"/>
      <x:c r="AB82" s="16"/>
      <x:c r="AC82" s="16" t="str">
        <x:v>EP01_대본_전량_001-282(2).md</x:v>
      </x:c>
      <x:c r="AD82" s="22" t="n">
        <x:v>1040</x:v>
      </x:c>
      <x:c r="AE82" s="139" t="str">
        <x:v>NOT_APPLICABLE</x:v>
      </x:c>
      <x:c r="AF82" s="139" t="str">
        <x:v>NONE</x:v>
      </x:c>
    </x:row>
    <x:row r="83" ht="72" customHeight="1">
      <x:c r="A83" s="24" t="str">
        <x:v>082</x:v>
      </x:c>
      <x:c r="B83" s="26" t="str">
        <x:v>B082-082</x:v>
      </x:c>
      <x:c r="C83" s="22" t="n">
        <x:v>1</x:v>
      </x:c>
      <x:c r="D83" s="22" t="str">
        <x:v>1/1</x:v>
      </x:c>
      <x:c r="E83" s="26" t="str">
        <x:v>EP01-S06</x:v>
      </x:c>
      <x:c r="F83" s="20" t="str">
        <x:v>6절 2년</x:v>
      </x:c>
      <x:c r="G83" s="20" t="str">
        <x:v>MS 유진</x:v>
      </x:c>
      <x:c r="H83" s="22" t="str"/>
      <x:c r="I83" s="24" t="str">
        <x:v>05-1-1</x:v>
      </x:c>
      <x:c r="J83" s="20" t="str">
        <x:v>유진 데스크</x:v>
      </x:c>
      <x:c r="K83" s="16" t="str">
        <x:v>짧게 묶은 머리, 표정 없음. 태블릿을 넘긴다</x:v>
      </x:c>
      <x:c r="L83" s="16" t="str">
        <x:v>짧게 묶은 머리, 표정 없음. 태블릿을 넘긴다</x:v>
      </x:c>
      <x:c r="M83" s="16" t="str"/>
      <x:c r="N83" s="16" t="str"/>
      <x:c r="O83" s="16" t="str">
        <x:v>430px · 여백 좁</x:v>
      </x:c>
      <x:c r="P83" s="16" t="str">
        <x:v>A woman with tightly tied hair at a console desk, swiping a tablet. Expressionless.</x:v>
      </x:c>
      <x:c r="Q83" s="16" t="str">
        <x:v>RANK_ENTRY</x:v>
      </x:c>
      <x:c r="R83" s="16" t="str"/>
      <x:c r="S83" s="16" t="str">
        <x:v>2년 무등록의 이상함과 평가소의 냉정한 절차를 보여줌</x:v>
      </x:c>
      <x:c r="T83" s="16" t="str">
        <x:v>후속 정보가 생기면 행동·배경의 의미를 재검토</x:v>
      </x:c>
      <x:c r="U83" s="16" t="str">
        <x:v>선택 / 대가 / 침묵</x:v>
      </x:c>
      <x:c r="V83" s="16" t="str">
        <x:v>다이에제틱 평가 장치·등록 절차</x:v>
      </x:c>
      <x:c r="W83" s="16"/>
      <x:c r="X83" s="22" t="str">
        <x:v>NONE</x:v>
      </x:c>
      <x:c r="Y83" s="16" t="str">
        <x:v>아인 왼쪽 견갑·오른쪽 건틀릿 좌우 고정 / GLOBAL-VIS-01</x:v>
      </x:c>
      <x:c r="Z83" s="22" t="str">
        <x:v>SOURCE</x:v>
      </x:c>
      <x:c r="AA83" s="22"/>
      <x:c r="AB83" s="16"/>
      <x:c r="AC83" s="16" t="str">
        <x:v>EP01_대본_전량_001-282(2).md</x:v>
      </x:c>
      <x:c r="AD83" s="22" t="n">
        <x:v>1052</x:v>
      </x:c>
      <x:c r="AE83" s="139" t="str">
        <x:v>NOT_APPLICABLE</x:v>
      </x:c>
      <x:c r="AF83" s="139" t="str">
        <x:v>NONE</x:v>
      </x:c>
    </x:row>
    <x:row r="84" ht="72" customHeight="1">
      <x:c r="A84" s="24" t="str">
        <x:v>083</x:v>
      </x:c>
      <x:c r="B84" s="26" t="str">
        <x:v>B083-083</x:v>
      </x:c>
      <x:c r="C84" s="22" t="n">
        <x:v>1</x:v>
      </x:c>
      <x:c r="D84" s="22" t="str">
        <x:v>1/1</x:v>
      </x:c>
      <x:c r="E84" s="26" t="str">
        <x:v>EP01-S06</x:v>
      </x:c>
      <x:c r="F84" s="20" t="str">
        <x:v>6절 2년</x:v>
      </x:c>
      <x:c r="G84" s="20" t="str">
        <x:v>CU 유진</x:v>
      </x:c>
      <x:c r="H84" s="22" t="str"/>
      <x:c r="I84" s="24" t="str">
        <x:v>05-1-4</x:v>
      </x:c>
      <x:c r="J84" s="20" t="str">
        <x:v>평가소 근접판</x:v>
      </x:c>
      <x:c r="K84" s="16" t="str">
        <x:v>화면을 몇 번 넘기더니 손이 멈춘다. 고개는 안 든다</x:v>
      </x:c>
      <x:c r="L84" s="16" t="str">
        <x:v>화면을 몇 번 넘기더니 손이 멈춘다. 고개는 안 든다</x:v>
      </x:c>
      <x:c r="M84" s="16" t="str">
        <x:v>대사 · 유진: 「…무등록이시네요.」</x:v>
      </x:c>
      <x:c r="N84" s="16" t="str"/>
      <x:c r="O84" s="16" t="str">
        <x:v>400px · 여백 좁</x:v>
      </x:c>
      <x:c r="P84" s="16" t="str">
        <x:v>Close on a woman looking down at a tablet, hand paused. She does not look up.</x:v>
      </x:c>
      <x:c r="Q84" s="16" t="str">
        <x:v>RANK_ENTRY</x:v>
      </x:c>
      <x:c r="R84" s="16" t="str"/>
      <x:c r="S84" s="16" t="str">
        <x:v>2년 무등록의 이상함과 평가소의 냉정한 절차를 보여줌</x:v>
      </x:c>
      <x:c r="T84" s="16" t="str">
        <x:v>후속 정보가 생기면 행동·배경의 의미를 재검토</x:v>
      </x:c>
      <x:c r="U84" s="16" t="str">
        <x:v>손 / 놓침 / 책임</x:v>
      </x:c>
      <x:c r="V84" s="16" t="str">
        <x:v>다이에제틱 평가 장치·등록 절차</x:v>
      </x:c>
      <x:c r="W84" s="16"/>
      <x:c r="X84" s="22" t="str">
        <x:v>NONE</x:v>
      </x:c>
      <x:c r="Y84" s="16" t="str">
        <x:v>아인 왼쪽 견갑·오른쪽 건틀릿 좌우 고정 / GLOBAL-VIS-01</x:v>
      </x:c>
      <x:c r="Z84" s="22" t="str">
        <x:v>SOURCE</x:v>
      </x:c>
      <x:c r="AA84" s="22"/>
      <x:c r="AB84" s="16"/>
      <x:c r="AC84" s="16" t="str">
        <x:v>EP01_대본_전량_001-282(2).md</x:v>
      </x:c>
      <x:c r="AD84" s="22" t="n">
        <x:v>1064</x:v>
      </x:c>
      <x:c r="AE84" s="139" t="str">
        <x:v>NOT_APPLICABLE</x:v>
      </x:c>
      <x:c r="AF84" s="139" t="str">
        <x:v>NONE</x:v>
      </x:c>
    </x:row>
    <x:row r="85" ht="72" customHeight="1">
      <x:c r="A85" s="24" t="str">
        <x:v>084</x:v>
      </x:c>
      <x:c r="B85" s="26" t="str">
        <x:v>B084-084</x:v>
      </x:c>
      <x:c r="C85" s="22" t="n">
        <x:v>1</x:v>
      </x:c>
      <x:c r="D85" s="22" t="str">
        <x:v>1/1</x:v>
      </x:c>
      <x:c r="E85" s="26" t="str">
        <x:v>EP01-S06</x:v>
      </x:c>
      <x:c r="F85" s="20" t="str">
        <x:v>6절 2년</x:v>
      </x:c>
      <x:c r="G85" s="20" t="str">
        <x:v>CU 아인</x:v>
      </x:c>
      <x:c r="H85" s="22" t="str"/>
      <x:c r="I85" s="24" t="str">
        <x:v>05-1-4</x:v>
      </x:c>
      <x:c r="J85" s="20" t="str">
        <x:v>평가소 근접판</x:v>
      </x:c>
      <x:c r="K85" s="16" t="str">
        <x:v>정면. 눈을 피하지 않는다</x:v>
      </x:c>
      <x:c r="L85" s="16" t="str">
        <x:v>정면. 눈을 피하지 않는다</x:v>
      </x:c>
      <x:c r="M85" s="16" t="str">
        <x:v>대사 · 아인: 「네.」</x:v>
      </x:c>
      <x:c r="N85" s="16" t="str"/>
      <x:c r="O85" s="16" t="str">
        <x:v>400px · 여백 좁</x:v>
      </x:c>
      <x:c r="P85" s="16" t="str">
        <x:v>A young woman facing forward, not avoiding eye contact.</x:v>
      </x:c>
      <x:c r="Q85" s="16" t="str">
        <x:v>RANK_ENTRY</x:v>
      </x:c>
      <x:c r="R85" s="16" t="str"/>
      <x:c r="S85" s="16" t="str">
        <x:v>2년 무등록의 이상함과 평가소의 냉정한 절차를 보여줌</x:v>
      </x:c>
      <x:c r="T85" s="16" t="str">
        <x:v>후속 정보가 생기면 행동·배경의 의미를 재검토</x:v>
      </x:c>
      <x:c r="U85" s="16" t="str">
        <x:v>선택 / 대가 / 침묵</x:v>
      </x:c>
      <x:c r="V85" s="16" t="str">
        <x:v>다이에제틱 평가 장치·등록 절차</x:v>
      </x:c>
      <x:c r="W85" s="16"/>
      <x:c r="X85" s="22" t="str">
        <x:v>NONE</x:v>
      </x:c>
      <x:c r="Y85" s="16" t="str">
        <x:v>아인 왼쪽 견갑·오른쪽 건틀릿 좌우 고정 / GLOBAL-VIS-01</x:v>
      </x:c>
      <x:c r="Z85" s="22" t="str">
        <x:v>SOURCE</x:v>
      </x:c>
      <x:c r="AA85" s="22"/>
      <x:c r="AB85" s="16"/>
      <x:c r="AC85" s="16" t="str">
        <x:v>EP01_대본_전량_001-282(2).md</x:v>
      </x:c>
      <x:c r="AD85" s="22" t="n">
        <x:v>1077</x:v>
      </x:c>
      <x:c r="AE85" s="139" t="str">
        <x:v>NOT_APPLICABLE</x:v>
      </x:c>
      <x:c r="AF85" s="139" t="str">
        <x:v>NONE</x:v>
      </x:c>
    </x:row>
    <x:row r="86" ht="72" customHeight="1">
      <x:c r="A86" s="24" t="str">
        <x:v>085</x:v>
      </x:c>
      <x:c r="B86" s="26" t="str">
        <x:v>B085-085</x:v>
      </x:c>
      <x:c r="C86" s="22" t="n">
        <x:v>1</x:v>
      </x:c>
      <x:c r="D86" s="22" t="str">
        <x:v>1/1</x:v>
      </x:c>
      <x:c r="E86" s="26" t="str">
        <x:v>EP01-S06</x:v>
      </x:c>
      <x:c r="F86" s="20" t="str">
        <x:v>6절 2년</x:v>
      </x:c>
      <x:c r="G86" s="20" t="str">
        <x:v>CU 유진</x:v>
      </x:c>
      <x:c r="H86" s="22" t="str"/>
      <x:c r="I86" s="24" t="str">
        <x:v>05-1-4</x:v>
      </x:c>
      <x:c r="J86" s="20" t="str">
        <x:v>평가소 근접판</x:v>
      </x:c>
      <x:c r="K86" s="16" t="str">
        <x:v>여전히 태블릿</x:v>
      </x:c>
      <x:c r="L86" s="16" t="str">
        <x:v>여전히 태블릿</x:v>
      </x:c>
      <x:c r="M86" s="16" t="str">
        <x:v>대사 · 유진: 「언제부터요.」</x:v>
      </x:c>
      <x:c r="N86" s="16" t="str"/>
      <x:c r="O86" s="16" t="str">
        <x:v>400px · 여백 좁</x:v>
      </x:c>
      <x:c r="P86" s="16" t="str">
        <x:v>Same woman still looking at her tablet.</x:v>
      </x:c>
      <x:c r="Q86" s="16" t="str">
        <x:v>RANK_ENTRY</x:v>
      </x:c>
      <x:c r="R86" s="16" t="str"/>
      <x:c r="S86" s="16" t="str">
        <x:v>2년 무등록의 이상함과 평가소의 냉정한 절차를 보여줌</x:v>
      </x:c>
      <x:c r="T86" s="16" t="str">
        <x:v>후속 정보가 생기면 행동·배경의 의미를 재검토</x:v>
      </x:c>
      <x:c r="U86" s="16" t="str">
        <x:v>선택 / 대가 / 침묵</x:v>
      </x:c>
      <x:c r="V86" s="16" t="str">
        <x:v>다이에제틱 평가 장치·등록 절차</x:v>
      </x:c>
      <x:c r="W86" s="16"/>
      <x:c r="X86" s="22" t="str">
        <x:v>NONE</x:v>
      </x:c>
      <x:c r="Y86" s="16" t="str">
        <x:v>아인 왼쪽 견갑·오른쪽 건틀릿 좌우 고정 / GLOBAL-VIS-01</x:v>
      </x:c>
      <x:c r="Z86" s="22" t="str">
        <x:v>SOURCE</x:v>
      </x:c>
      <x:c r="AA86" s="22"/>
      <x:c r="AB86" s="16"/>
      <x:c r="AC86" s="16" t="str">
        <x:v>EP01_대본_전량_001-282(2).md</x:v>
      </x:c>
      <x:c r="AD86" s="22" t="n">
        <x:v>1090</x:v>
      </x:c>
      <x:c r="AE86" s="139" t="str">
        <x:v>NOT_APPLICABLE</x:v>
      </x:c>
      <x:c r="AF86" s="139" t="str">
        <x:v>NONE</x:v>
      </x:c>
    </x:row>
    <x:row r="87" ht="72" customHeight="1">
      <x:c r="A87" s="24" t="str">
        <x:v>086</x:v>
      </x:c>
      <x:c r="B87" s="26" t="str">
        <x:v>B086-086</x:v>
      </x:c>
      <x:c r="C87" s="22" t="n">
        <x:v>1</x:v>
      </x:c>
      <x:c r="D87" s="22" t="str">
        <x:v>1/1</x:v>
      </x:c>
      <x:c r="E87" s="26" t="str">
        <x:v>EP01-S06</x:v>
      </x:c>
      <x:c r="F87" s="20" t="str">
        <x:v>6절 2년</x:v>
      </x:c>
      <x:c r="G87" s="20" t="str">
        <x:v>CU 아인</x:v>
      </x:c>
      <x:c r="H87" s="22" t="str"/>
      <x:c r="I87" s="24" t="str">
        <x:v>05-1-4</x:v>
      </x:c>
      <x:c r="J87" s="20" t="str">
        <x:v>평가소 근접판</x:v>
      </x:c>
      <x:c r="K87" s="16" t="str">
        <x:v>반 박자 늦게</x:v>
      </x:c>
      <x:c r="L87" s="16" t="str">
        <x:v>반 박자 늦게</x:v>
      </x:c>
      <x:c r="M87" s="16" t="str">
        <x:v>대사 · 아인: 「…2년.」</x:v>
      </x:c>
      <x:c r="N87" s="16" t="str"/>
      <x:c r="O87" s="16" t="str">
        <x:v>400px · 여백 중</x:v>
      </x:c>
      <x:c r="P87" s="16" t="str">
        <x:v>The young woman, a half beat late.</x:v>
      </x:c>
      <x:c r="Q87" s="16" t="str">
        <x:v>RANK_ENTRY</x:v>
      </x:c>
      <x:c r="R87" s="16" t="str"/>
      <x:c r="S87" s="16" t="str">
        <x:v>2년 무등록의 이상함과 평가소의 냉정한 절차를 보여줌</x:v>
      </x:c>
      <x:c r="T87" s="16" t="str">
        <x:v>후속 정보가 생기면 행동·배경의 의미를 재검토</x:v>
      </x:c>
      <x:c r="U87" s="16" t="str">
        <x:v>선택 / 대가 / 침묵</x:v>
      </x:c>
      <x:c r="V87" s="16" t="str">
        <x:v>다이에제틱 평가 장치·등록 절차</x:v>
      </x:c>
      <x:c r="W87" s="16"/>
      <x:c r="X87" s="22" t="str">
        <x:v>NONE</x:v>
      </x:c>
      <x:c r="Y87" s="16" t="str">
        <x:v>아인 왼쪽 견갑·오른쪽 건틀릿 좌우 고정 / GLOBAL-VIS-01</x:v>
      </x:c>
      <x:c r="Z87" s="22" t="str">
        <x:v>SOURCE</x:v>
      </x:c>
      <x:c r="AA87" s="22"/>
      <x:c r="AB87" s="16"/>
      <x:c r="AC87" s="16" t="str">
        <x:v>EP01_대본_전량_001-282(2).md</x:v>
      </x:c>
      <x:c r="AD87" s="22" t="n">
        <x:v>1103</x:v>
      </x:c>
      <x:c r="AE87" s="139" t="str">
        <x:v>NOT_APPLICABLE</x:v>
      </x:c>
      <x:c r="AF87" s="139" t="str">
        <x:v>NONE</x:v>
      </x:c>
    </x:row>
    <x:row r="88" ht="72" customHeight="1">
      <x:c r="A88" s="24" t="str">
        <x:v>087</x:v>
      </x:c>
      <x:c r="B88" s="26" t="str">
        <x:v>B087-087</x:v>
      </x:c>
      <x:c r="C88" s="22" t="n">
        <x:v>1</x:v>
      </x:c>
      <x:c r="D88" s="22" t="str">
        <x:v>1/1</x:v>
      </x:c>
      <x:c r="E88" s="26" t="str">
        <x:v>EP01-S06</x:v>
      </x:c>
      <x:c r="F88" s="20" t="str">
        <x:v>6절 2년</x:v>
      </x:c>
      <x:c r="G88" s="20" t="str">
        <x:v>CU 유진</x:v>
      </x:c>
      <x:c r="H88" s="22" t="str">
        <x:v>⭐</x:v>
      </x:c>
      <x:c r="I88" s="24" t="str">
        <x:v>05-1-4</x:v>
      </x:c>
      <x:c r="J88" s="20" t="str">
        <x:v>평가소 근접판</x:v>
      </x:c>
      <x:c r="K88" s="16" t="str">
        <x:v>처음으로 고개를 든다</x:v>
      </x:c>
      <x:c r="L88" s="16" t="str">
        <x:v>처음으로 고개를 든다</x:v>
      </x:c>
      <x:c r="M88" s="16" t="str">
        <x:v>대사 · 유진: 「2년 동안 안 받고 버텼으면서 이제 와서요?」</x:v>
      </x:c>
      <x:c r="N88" s="16" t="str"/>
      <x:c r="O88" s="16" t="str">
        <x:v>430px · 여백 넓</x:v>
      </x:c>
      <x:c r="P88" s="16" t="str">
        <x:v>The woman lifts her head for the first time and looks directly forward.</x:v>
      </x:c>
      <x:c r="Q88" s="16" t="str">
        <x:v>RANK_ENTRY</x:v>
      </x:c>
      <x:c r="R88" s="16" t="str">
        <x:v>SIGNATURE</x:v>
      </x:c>
      <x:c r="S88" s="16" t="str">
        <x:v>2년 무등록의 이상함과 평가소의 냉정한 절차를 보여줌</x:v>
      </x:c>
      <x:c r="T88" s="16" t="str">
        <x:v>시그니처 상징의 기원</x:v>
      </x:c>
      <x:c r="U88" s="16" t="str">
        <x:v>선택 / 대가 / 침묵</x:v>
      </x:c>
      <x:c r="V88" s="16" t="str">
        <x:v>다이에제틱 평가 장치·등록 절차</x:v>
      </x:c>
      <x:c r="W88" s="16"/>
      <x:c r="X88" s="22" t="str">
        <x:v>NONE</x:v>
      </x:c>
      <x:c r="Y88" s="16" t="str">
        <x:v>아인 왼쪽 견갑·오른쪽 건틀릿 좌우 고정 / GLOBAL-VIS-01</x:v>
      </x:c>
      <x:c r="Z88" s="22" t="str">
        <x:v>SOURCE</x:v>
      </x:c>
      <x:c r="AA88" s="22"/>
      <x:c r="AB88" s="16"/>
      <x:c r="AC88" s="16" t="str">
        <x:v>EP01_대본_전량_001-282(2).md</x:v>
      </x:c>
      <x:c r="AD88" s="22" t="n">
        <x:v>1116</x:v>
      </x:c>
      <x:c r="AE88" s="139" t="str">
        <x:v>NOT_APPLICABLE</x:v>
      </x:c>
      <x:c r="AF88" s="139" t="str">
        <x:v>NONE</x:v>
      </x:c>
    </x:row>
    <x:row r="89" ht="72" customHeight="1">
      <x:c r="A89" s="24" t="str">
        <x:v>088</x:v>
      </x:c>
      <x:c r="B89" s="26" t="str">
        <x:v>B088-088</x:v>
      </x:c>
      <x:c r="C89" s="22" t="n">
        <x:v>1</x:v>
      </x:c>
      <x:c r="D89" s="22" t="str">
        <x:v>1/1</x:v>
      </x:c>
      <x:c r="E89" s="26" t="str">
        <x:v>EP01-S06</x:v>
      </x:c>
      <x:c r="F89" s="20" t="str">
        <x:v>6절 2년</x:v>
      </x:c>
      <x:c r="G89" s="20" t="str">
        <x:v>MS 아인</x:v>
      </x:c>
      <x:c r="H89" s="22" t="str">
        <x:v>🤫</x:v>
      </x:c>
      <x:c r="I89" s="24" t="str">
        <x:v>05-1-4</x:v>
      </x:c>
      <x:c r="J89" s="20" t="str">
        <x:v>평가소 근접판</x:v>
      </x:c>
      <x:c r="K89" s="16" t="str">
        <x:v>대답하지 않는다. 시선은 유진에게 고정</x:v>
      </x:c>
      <x:c r="L89" s="16" t="str">
        <x:v>대답하지 않는다. 시선은 유진에게 고정</x:v>
      </x:c>
      <x:c r="M89" s="16" t="str"/>
      <x:c r="N89" s="16" t="str"/>
      <x:c r="O89" s="16" t="str">
        <x:v>400px · 여백 극</x:v>
      </x:c>
      <x:c r="P89" s="16" t="str">
        <x:v>The young woman says nothing. Her gaze stays fixed.</x:v>
      </x:c>
      <x:c r="Q89" s="16" t="str">
        <x:v>RANK_ENTRY</x:v>
      </x:c>
      <x:c r="R89" s="16" t="str">
        <x:v>SILENT_ACTING</x:v>
      </x:c>
      <x:c r="S89" s="16" t="str">
        <x:v>2년 무등록의 이상함과 평가소의 냉정한 절차를 보여줌</x:v>
      </x:c>
      <x:c r="T89" s="16" t="str">
        <x:v>침묵한 반응의 이유를 후발 정보로 다시 읽음</x:v>
      </x:c>
      <x:c r="U89" s="16" t="str">
        <x:v>선택 / 대가 / 침묵</x:v>
      </x:c>
      <x:c r="V89" s="16" t="str">
        <x:v>다이에제틱 평가 장치·등록 절차</x:v>
      </x:c>
      <x:c r="W89" s="16"/>
      <x:c r="X89" s="22" t="str">
        <x:v>NONE</x:v>
      </x:c>
      <x:c r="Y89" s="16" t="str">
        <x:v>대사 금지 또는 응답 없는 침묵 유지 / 아인 왼쪽 견갑·오른쪽 건틀릿 좌우 고정 / GLOBAL-VIS-01</x:v>
      </x:c>
      <x:c r="Z89" s="22" t="str">
        <x:v>SOURCE</x:v>
      </x:c>
      <x:c r="AA89" s="22"/>
      <x:c r="AB89" s="16"/>
      <x:c r="AC89" s="16" t="str">
        <x:v>EP01_대본_전량_001-282(2).md</x:v>
      </x:c>
      <x:c r="AD89" s="22" t="n">
        <x:v>1129</x:v>
      </x:c>
      <x:c r="AE89" s="139" t="str">
        <x:v>NOT_APPLICABLE</x:v>
      </x:c>
      <x:c r="AF89" s="139" t="str">
        <x:v>NONE</x:v>
      </x:c>
    </x:row>
    <x:row r="90" ht="72" customHeight="1">
      <x:c r="A90" s="24" t="str">
        <x:v>089</x:v>
      </x:c>
      <x:c r="B90" s="26" t="str">
        <x:v>B089-089</x:v>
      </x:c>
      <x:c r="C90" s="22" t="n">
        <x:v>1</x:v>
      </x:c>
      <x:c r="D90" s="22" t="str">
        <x:v>1/1</x:v>
      </x:c>
      <x:c r="E90" s="26" t="str">
        <x:v>EP01-S06</x:v>
      </x:c>
      <x:c r="F90" s="20" t="str">
        <x:v>6절 2년</x:v>
      </x:c>
      <x:c r="G90" s="20" t="str">
        <x:v>CU 아인</x:v>
      </x:c>
      <x:c r="H90" s="22" t="str"/>
      <x:c r="I90" s="24" t="str">
        <x:v>05-1-4</x:v>
      </x:c>
      <x:c r="J90" s="20" t="str">
        <x:v>평가소 근접판</x:v>
      </x:c>
      <x:c r="K90" s="16" t="str">
        <x:v>입이 열린다</x:v>
      </x:c>
      <x:c r="L90" s="16" t="str">
        <x:v>입이 열린다</x:v>
      </x:c>
      <x:c r="M90" s="16" t="str">
        <x:v>대사 · 아인: 「…한 장인이 재촉을 안 해요.」</x:v>
      </x:c>
      <x:c r="N90" s="16" t="str"/>
      <x:c r="O90" s="16" t="str">
        <x:v>400px · 여백 중</x:v>
      </x:c>
      <x:c r="P90" s="16" t="str">
        <x:v>The young woman's mouth opens slightly.</x:v>
      </x:c>
      <x:c r="Q90" s="16" t="str">
        <x:v>RANK_ENTRY</x:v>
      </x:c>
      <x:c r="R90" s="16" t="str"/>
      <x:c r="S90" s="16" t="str">
        <x:v>2년 무등록의 이상함과 평가소의 냉정한 절차를 보여줌</x:v>
      </x:c>
      <x:c r="T90" s="16" t="str">
        <x:v>후속 정보가 생기면 행동·배경의 의미를 재검토</x:v>
      </x:c>
      <x:c r="U90" s="16" t="str">
        <x:v>선택 / 대가 / 침묵</x:v>
      </x:c>
      <x:c r="V90" s="16" t="str">
        <x:v>다이에제틱 평가 장치·등록 절차</x:v>
      </x:c>
      <x:c r="W90" s="16"/>
      <x:c r="X90" s="22" t="str">
        <x:v>NONE</x:v>
      </x:c>
      <x:c r="Y90" s="16" t="str">
        <x:v>아인 왼쪽 견갑·오른쪽 건틀릿 좌우 고정 / GLOBAL-VIS-01</x:v>
      </x:c>
      <x:c r="Z90" s="22" t="str">
        <x:v>SOURCE</x:v>
      </x:c>
      <x:c r="AA90" s="22"/>
      <x:c r="AB90" s="16"/>
      <x:c r="AC90" s="16" t="str">
        <x:v>EP01_대본_전량_001-282(2).md</x:v>
      </x:c>
      <x:c r="AD90" s="22" t="n">
        <x:v>1141</x:v>
      </x:c>
      <x:c r="AE90" s="139" t="str">
        <x:v>NOT_APPLICABLE</x:v>
      </x:c>
      <x:c r="AF90" s="139" t="str">
        <x:v>NONE</x:v>
      </x:c>
    </x:row>
    <x:row r="91" ht="72" customHeight="1">
      <x:c r="A91" s="24" t="str">
        <x:v>090</x:v>
      </x:c>
      <x:c r="B91" s="26" t="str">
        <x:v>B090-090</x:v>
      </x:c>
      <x:c r="C91" s="22" t="n">
        <x:v>1</x:v>
      </x:c>
      <x:c r="D91" s="22" t="str">
        <x:v>1/1</x:v>
      </x:c>
      <x:c r="E91" s="26" t="str">
        <x:v>EP01-S06</x:v>
      </x:c>
      <x:c r="F91" s="20" t="str">
        <x:v>6절 2년</x:v>
      </x:c>
      <x:c r="G91" s="20" t="str">
        <x:v>CU 유진</x:v>
      </x:c>
      <x:c r="H91" s="22" t="str">
        <x:v>⭐🤫</x:v>
      </x:c>
      <x:c r="I91" s="24" t="str">
        <x:v>05-1-4</x:v>
      </x:c>
      <x:c r="J91" s="20" t="str">
        <x:v>평가소 근접판</x:v>
      </x:c>
      <x:c r="K91" s="16" t="str">
        <x:v>아인을 잠깐 본다. 표정이 아니라 시선의 길이로 반응</x:v>
      </x:c>
      <x:c r="L91" s="16" t="str">
        <x:v>아인을 잠깐 본다. 표정이 아니라 시선의 길이로 반응</x:v>
      </x:c>
      <x:c r="M91" s="16" t="str"/>
      <x:c r="N91" s="16" t="str"/>
      <x:c r="O91" s="16" t="str">
        <x:v>430px · 여백 극</x:v>
      </x:c>
      <x:c r="P91" s="16" t="str">
        <x:v>The woman looks at her for a moment. No change of expression, only the length of the look.</x:v>
      </x:c>
      <x:c r="Q91" s="16" t="str">
        <x:v>RANK_ENTRY</x:v>
      </x:c>
      <x:c r="R91" s="16" t="str">
        <x:v>SIGNATURE / SILENT_ACTING</x:v>
      </x:c>
      <x:c r="S91" s="16" t="str">
        <x:v>2년 무등록의 이상함과 평가소의 냉정한 절차를 보여줌</x:v>
      </x:c>
      <x:c r="T91" s="16" t="str">
        <x:v>침묵한 반응의 이유를 후발 정보로 다시 읽음 / 시그니처 상징의 기원</x:v>
      </x:c>
      <x:c r="U91" s="16" t="str">
        <x:v>선택 / 대가 / 침묵</x:v>
      </x:c>
      <x:c r="V91" s="16" t="str">
        <x:v>다이에제틱 평가 장치·등록 절차</x:v>
      </x:c>
      <x:c r="W91" s="16"/>
      <x:c r="X91" s="22" t="str">
        <x:v>NONE</x:v>
      </x:c>
      <x:c r="Y91" s="16" t="str">
        <x:v>대사 금지 또는 응답 없는 침묵 유지 / 아인 왼쪽 견갑·오른쪽 건틀릿 좌우 고정 / GLOBAL-VIS-01</x:v>
      </x:c>
      <x:c r="Z91" s="22" t="str">
        <x:v>SOURCE</x:v>
      </x:c>
      <x:c r="AA91" s="22"/>
      <x:c r="AB91" s="16"/>
      <x:c r="AC91" s="16" t="str">
        <x:v>EP01_대본_전량_001-282(2).md</x:v>
      </x:c>
      <x:c r="AD91" s="22" t="n">
        <x:v>1154</x:v>
      </x:c>
      <x:c r="AE91" s="139" t="str">
        <x:v>NOT_APPLICABLE</x:v>
      </x:c>
      <x:c r="AF91" s="139" t="str">
        <x:v>NONE</x:v>
      </x:c>
    </x:row>
    <x:row r="92" ht="72" customHeight="1">
      <x:c r="A92" s="24" t="str">
        <x:v>091</x:v>
      </x:c>
      <x:c r="B92" s="26" t="str">
        <x:v>B091-091</x:v>
      </x:c>
      <x:c r="C92" s="22" t="n">
        <x:v>1</x:v>
      </x:c>
      <x:c r="D92" s="22" t="str">
        <x:v>1/1</x:v>
      </x:c>
      <x:c r="E92" s="26" t="str">
        <x:v>EP01-S06</x:v>
      </x:c>
      <x:c r="F92" s="20" t="str">
        <x:v>6절 2년</x:v>
      </x:c>
      <x:c r="G92" s="20" t="str">
        <x:v>MS 유진</x:v>
      </x:c>
      <x:c r="H92" s="22" t="str"/>
      <x:c r="I92" s="24" t="str">
        <x:v>05-1-1</x:v>
      </x:c>
      <x:c r="J92" s="20" t="str">
        <x:v>유진 데스크</x:v>
      </x:c>
      <x:c r="K92" s="16" t="str">
        <x:v>다시 태블릿으로 시선을 내린다. 더 묻지 않는다</x:v>
      </x:c>
      <x:c r="L92" s="16" t="str">
        <x:v>다시 태블릿으로 시선을 내린다. 더 묻지 않는다</x:v>
      </x:c>
      <x:c r="M92" s="16" t="str">
        <x:v>대사 · 유진: 「…발판 위로.」</x:v>
      </x:c>
      <x:c r="N92" s="16" t="str"/>
      <x:c r="O92" s="16" t="str">
        <x:v>430px · 여백 넓</x:v>
      </x:c>
      <x:c r="P92" s="16" t="str">
        <x:v>The woman lowers her gaze back to the tablet.</x:v>
      </x:c>
      <x:c r="Q92" s="16" t="str">
        <x:v>RANK_ENTRY</x:v>
      </x:c>
      <x:c r="R92" s="16" t="str"/>
      <x:c r="S92" s="16" t="str">
        <x:v>2년 무등록의 이상함과 평가소의 냉정한 절차를 보여줌</x:v>
      </x:c>
      <x:c r="T92" s="16" t="str">
        <x:v>후속 정보가 생기면 행동·배경의 의미를 재검토</x:v>
      </x:c>
      <x:c r="U92" s="16" t="str">
        <x:v>선택 / 대가 / 침묵</x:v>
      </x:c>
      <x:c r="V92" s="16" t="str">
        <x:v>다이에제틱 평가 장치·등록 절차</x:v>
      </x:c>
      <x:c r="W92" s="16"/>
      <x:c r="X92" s="22" t="str">
        <x:v>NONE</x:v>
      </x:c>
      <x:c r="Y92" s="16" t="str">
        <x:v>아인 왼쪽 견갑·오른쪽 건틀릿 좌우 고정 / GLOBAL-VIS-01</x:v>
      </x:c>
      <x:c r="Z92" s="22" t="str">
        <x:v>SOURCE</x:v>
      </x:c>
      <x:c r="AA92" s="22"/>
      <x:c r="AB92" s="16"/>
      <x:c r="AC92" s="16" t="str">
        <x:v>EP01_대본_전량_001-282(2).md</x:v>
      </x:c>
      <x:c r="AD92" s="22" t="n">
        <x:v>1166</x:v>
      </x:c>
      <x:c r="AE92" s="139" t="str">
        <x:v>NOT_APPLICABLE</x:v>
      </x:c>
      <x:c r="AF92" s="139" t="str">
        <x:v>NONE</x:v>
      </x:c>
    </x:row>
    <x:row r="93" ht="72" customHeight="1">
      <x:c r="A93" s="24" t="str">
        <x:v>092</x:v>
      </x:c>
      <x:c r="B93" s="26" t="str">
        <x:v>B092-092</x:v>
      </x:c>
      <x:c r="C93" s="22" t="n">
        <x:v>1</x:v>
      </x:c>
      <x:c r="D93" s="22" t="str">
        <x:v>1/1</x:v>
      </x:c>
      <x:c r="E93" s="26" t="str">
        <x:v>EP01-S06</x:v>
      </x:c>
      <x:c r="F93" s="20" t="str">
        <x:v>6절 2년</x:v>
      </x:c>
      <x:c r="G93" s="20" t="str">
        <x:v>인서트</x:v>
      </x:c>
      <x:c r="H93" s="22" t="str"/>
      <x:c r="I93" s="24" t="str">
        <x:v>05-1-2</x:v>
      </x:c>
      <x:c r="J93" s="20" t="str">
        <x:v>등급표 벽</x:v>
      </x:c>
      <x:c r="K93" s="16" t="str">
        <x:v>등급표. C·B·A·S·SS 도해</x:v>
      </x:c>
      <x:c r="L93" s="16" t="str">
        <x:v>등급표. C·B·A·S·SS 도해</x:v>
      </x:c>
      <x:c r="M93" s="16" t="str"/>
      <x:c r="N93" s="16" t="str"/>
      <x:c r="O93" s="16" t="str">
        <x:v>380px · 여백 좁</x:v>
      </x:c>
      <x:c r="P93" s="16" t="str">
        <x:v>A wall chart showing a rank ladder: C B A S SS. Cold institutional print.</x:v>
      </x:c>
      <x:c r="Q93" s="16" t="str">
        <x:v>RANK_SYSTEM</x:v>
      </x:c>
      <x:c r="R93" s="16" t="str"/>
      <x:c r="S93" s="16" t="str">
        <x:v>C 등급의 보상과 불안을 동시에 학습</x:v>
      </x:c>
      <x:c r="T93" s="16" t="str">
        <x:v>후속 정보가 생기면 행동·배경의 의미를 재검토</x:v>
      </x:c>
      <x:c r="U93" s="16" t="str">
        <x:v>등급 / 성숙 / 결정권</x:v>
      </x:c>
      <x:c r="V93" s="16" t="str">
        <x:v>등급 UI를 세계 내 사물로 먼저 학습</x:v>
      </x:c>
      <x:c r="W93" s="16"/>
      <x:c r="X93" s="22" t="str">
        <x:v>NONE</x:v>
      </x:c>
      <x:c r="Y93" s="16" t="str">
        <x:v>GLOBAL-VIS-01</x:v>
      </x:c>
      <x:c r="Z93" s="22" t="str">
        <x:v>SOURCE</x:v>
      </x:c>
      <x:c r="AA93" s="22"/>
      <x:c r="AB93" s="16"/>
      <x:c r="AC93" s="16" t="str">
        <x:v>EP01_대본_전량_001-282(2).md</x:v>
      </x:c>
      <x:c r="AD93" s="22" t="n">
        <x:v>1179</x:v>
      </x:c>
      <x:c r="AE93" s="139" t="str">
        <x:v>NOT_APPLICABLE</x:v>
      </x:c>
      <x:c r="AF93" s="139" t="str">
        <x:v>NONE</x:v>
      </x:c>
    </x:row>
    <x:row r="94" ht="72" customHeight="1">
      <x:c r="A94" s="24" t="str">
        <x:v>093</x:v>
      </x:c>
      <x:c r="B94" s="26" t="str">
        <x:v>B093-093</x:v>
      </x:c>
      <x:c r="C94" s="22" t="n">
        <x:v>1</x:v>
      </x:c>
      <x:c r="D94" s="22" t="str">
        <x:v>1/1</x:v>
      </x:c>
      <x:c r="E94" s="26" t="str">
        <x:v>EP01-S06</x:v>
      </x:c>
      <x:c r="F94" s="20" t="str">
        <x:v>6절 2년</x:v>
      </x:c>
      <x:c r="G94" s="20" t="str">
        <x:v>MS</x:v>
      </x:c>
      <x:c r="H94" s="22" t="str"/>
      <x:c r="I94" s="24" t="str">
        <x:v>05-1-3</x:v>
      </x:c>
      <x:c r="J94" s="20" t="str">
        <x:v>발판·스캔</x:v>
      </x:c>
      <x:c r="K94" s="16" t="str">
        <x:v>아인이 낫을 세우고 발판 위로</x:v>
      </x:c>
      <x:c r="L94" s="16" t="str">
        <x:v>아인이 낫을 세우고 발판 위로</x:v>
      </x:c>
      <x:c r="M94" s="16" t="str">
        <x:v>나레이션: 등급이 오르면 의뢰가 열린다. 보수가 오른다. / 배급 순서가 앞당겨진다.</x:v>
      </x:c>
      <x:c r="N94" s="16" t="str"/>
      <x:c r="O94" s="16" t="str">
        <x:v>470px · 여백 중</x:v>
      </x:c>
      <x:c r="P94" s="16" t="str">
        <x:v>A young woman stepping onto a measurement platform, scythe planted upright.</x:v>
      </x:c>
      <x:c r="Q94" s="16" t="str">
        <x:v>RANK_SYSTEM</x:v>
      </x:c>
      <x:c r="R94" s="16" t="str"/>
      <x:c r="S94" s="16" t="str">
        <x:v>C 등급의 보상과 불안을 동시에 학습</x:v>
      </x:c>
      <x:c r="T94" s="16" t="str">
        <x:v>후속 정보가 생기면 행동·배경의 의미를 재검토</x:v>
      </x:c>
      <x:c r="U94" s="16" t="str">
        <x:v>거리 / 보호 / 선택 / 박자</x:v>
      </x:c>
      <x:c r="V94" s="16" t="str">
        <x:v>등급 UI를 세계 내 사물로 먼저 학습</x:v>
      </x:c>
      <x:c r="W94" s="16"/>
      <x:c r="X94" s="22" t="str">
        <x:v>NONE</x:v>
      </x:c>
      <x:c r="Y94" s="16" t="str">
        <x:v>아인 왼쪽 견갑·오른쪽 건틀릿 좌우 고정 / GLOBAL-VIS-01</x:v>
      </x:c>
      <x:c r="Z94" s="22" t="str">
        <x:v>SOURCE</x:v>
      </x:c>
      <x:c r="AA94" s="22"/>
      <x:c r="AB94" s="16"/>
      <x:c r="AC94" s="16" t="str">
        <x:v>EP01_대본_전량_001-282(2).md</x:v>
      </x:c>
      <x:c r="AD94" s="22" t="n">
        <x:v>1191</x:v>
      </x:c>
      <x:c r="AE94" s="139" t="str">
        <x:v>NOT_APPLICABLE</x:v>
      </x:c>
      <x:c r="AF94" s="139" t="str">
        <x:v>NONE</x:v>
      </x:c>
    </x:row>
    <x:row r="95" ht="72" customHeight="1">
      <x:c r="A95" s="24" t="str">
        <x:v>094</x:v>
      </x:c>
      <x:c r="B95" s="26" t="str">
        <x:v>B094-094</x:v>
      </x:c>
      <x:c r="C95" s="22" t="n">
        <x:v>1</x:v>
      </x:c>
      <x:c r="D95" s="22" t="str">
        <x:v>1/1</x:v>
      </x:c>
      <x:c r="E95" s="26" t="str">
        <x:v>EP01-S06</x:v>
      </x:c>
      <x:c r="F95" s="20" t="str">
        <x:v>6절 2년</x:v>
      </x:c>
      <x:c r="G95" s="20" t="str">
        <x:v>CU</x:v>
      </x:c>
      <x:c r="H95" s="22" t="str"/>
      <x:c r="I95" s="24" t="str">
        <x:v>05-1-3</x:v>
      </x:c>
      <x:c r="J95" s="20" t="str">
        <x:v>발판·스캔</x:v>
      </x:c>
      <x:c r="K95" s="16" t="str">
        <x:v>발밑 스캔판에 불이 들어온다</x:v>
      </x:c>
      <x:c r="L95" s="16" t="str">
        <x:v>발밑 스캔판에 불이 들어온다</x:v>
      </x:c>
      <x:c r="M95" s="16" t="str">
        <x:v>나레이션: 등급이 없으면 아무리 강해도 굶는다.</x:v>
      </x:c>
      <x:c r="N95" s="16" t="str"/>
      <x:c r="O95" s="16" t="str">
        <x:v>400px · 여백 넓</x:v>
      </x:c>
      <x:c r="P95" s="16" t="str">
        <x:v>Close on boots on a metal footplate. An inset light ring turns on.</x:v>
      </x:c>
      <x:c r="Q95" s="16" t="str">
        <x:v>RANK_SYSTEM</x:v>
      </x:c>
      <x:c r="R95" s="16" t="str"/>
      <x:c r="S95" s="16" t="str">
        <x:v>C 등급의 보상과 불안을 동시에 학습</x:v>
      </x:c>
      <x:c r="T95" s="16" t="str">
        <x:v>후속 정보가 생기면 행동·배경의 의미를 재검토</x:v>
      </x:c>
      <x:c r="U95" s="16" t="str">
        <x:v>거리 / 보호 / 선택 / 등급</x:v>
      </x:c>
      <x:c r="V95" s="16" t="str">
        <x:v>등급 UI를 세계 내 사물로 먼저 학습</x:v>
      </x:c>
      <x:c r="W95" s="16"/>
      <x:c r="X95" s="22" t="str">
        <x:v>NONE</x:v>
      </x:c>
      <x:c r="Y95" s="16" t="str">
        <x:v>GLOBAL-VIS-01</x:v>
      </x:c>
      <x:c r="Z95" s="22" t="str">
        <x:v>SOURCE</x:v>
      </x:c>
      <x:c r="AA95" s="22"/>
      <x:c r="AB95" s="16"/>
      <x:c r="AC95" s="16" t="str">
        <x:v>EP01_대본_전량_001-282(2).md</x:v>
      </x:c>
      <x:c r="AD95" s="22" t="n">
        <x:v>1204</x:v>
      </x:c>
      <x:c r="AE95" s="139" t="str">
        <x:v>NOT_APPLICABLE</x:v>
      </x:c>
      <x:c r="AF95" s="139" t="str">
        <x:v>NONE</x:v>
      </x:c>
    </x:row>
    <x:row r="96" ht="72" customHeight="1">
      <x:c r="A96" s="24" t="str">
        <x:v>095</x:v>
      </x:c>
      <x:c r="B96" s="26" t="str">
        <x:v>B095-095</x:v>
      </x:c>
      <x:c r="C96" s="22" t="n">
        <x:v>1</x:v>
      </x:c>
      <x:c r="D96" s="22" t="str">
        <x:v>1/1</x:v>
      </x:c>
      <x:c r="E96" s="26" t="str">
        <x:v>EP01-S06</x:v>
      </x:c>
      <x:c r="F96" s="20" t="str">
        <x:v>6절 2년</x:v>
      </x:c>
      <x:c r="G96" s="20" t="str">
        <x:v>극세로 블리드</x:v>
      </x:c>
      <x:c r="H96" s="22" t="str"/>
      <x:c r="I96" s="24" t="str">
        <x:v>05-1-3</x:v>
      </x:c>
      <x:c r="J96" s="20" t="str">
        <x:v>발판·스캔</x:v>
      </x:c>
      <x:c r="K96" s="16" t="str">
        <x:v>청백색 스캔 빔이 발밑에서 척추를 따라 올라간다</x:v>
      </x:c>
      <x:c r="L96" s="16" t="str">
        <x:v>청백색 스캔 빔이 발밑에서 척추를 따라 올라간다</x:v>
      </x:c>
      <x:c r="M96" s="16" t="str"/>
      <x:c r="N96" s="16" t="str">
        <x:v>위이이잉—</x:v>
      </x:c>
      <x:c r="O96" s="16" t="str">
        <x:v>1,500px · 여백 좁</x:v>
      </x:c>
      <x:c r="P96" s="16" t="str">
        <x:v>A pale cold scanning beam rising from the floor plate up along a standing figure's spine. Vertical composition.</x:v>
      </x:c>
      <x:c r="Q96" s="16" t="str">
        <x:v>RANK_SYSTEM</x:v>
      </x:c>
      <x:c r="R96" s="16" t="str"/>
      <x:c r="S96" s="16" t="str">
        <x:v>C 등급의 보상과 불안을 동시에 학습</x:v>
      </x:c>
      <x:c r="T96" s="16" t="str">
        <x:v>후속 정보가 생기면 행동·배경의 의미를 재검토</x:v>
      </x:c>
      <x:c r="U96" s="16" t="str">
        <x:v>거리 / 보호 / 선택 / 등급</x:v>
      </x:c>
      <x:c r="V96" s="16" t="str">
        <x:v>등급 UI를 세계 내 사물로 먼저 학습</x:v>
      </x:c>
      <x:c r="W96" s="16"/>
      <x:c r="X96" s="22" t="str">
        <x:v>NONE</x:v>
      </x:c>
      <x:c r="Y96" s="16" t="str">
        <x:v>GLOBAL-VIS-01</x:v>
      </x:c>
      <x:c r="Z96" s="22" t="str">
        <x:v>SOURCE</x:v>
      </x:c>
      <x:c r="AA96" s="22"/>
      <x:c r="AB96" s="16"/>
      <x:c r="AC96" s="16" t="str">
        <x:v>EP01_대본_전량_001-282(2).md</x:v>
      </x:c>
      <x:c r="AD96" s="22" t="n">
        <x:v>1217</x:v>
      </x:c>
      <x:c r="AE96" s="139" t="str">
        <x:v>NOT_APPLICABLE</x:v>
      </x:c>
      <x:c r="AF96" s="139" t="str">
        <x:v>NONE</x:v>
      </x:c>
    </x:row>
    <x:row r="97" ht="72" customHeight="1">
      <x:c r="A97" s="24" t="str">
        <x:v>096</x:v>
      </x:c>
      <x:c r="B97" s="26" t="str">
        <x:v>B096-096</x:v>
      </x:c>
      <x:c r="C97" s="22" t="n">
        <x:v>1</x:v>
      </x:c>
      <x:c r="D97" s="22" t="str">
        <x:v>1/1</x:v>
      </x:c>
      <x:c r="E97" s="26" t="str">
        <x:v>EP01-S06</x:v>
      </x:c>
      <x:c r="F97" s="20" t="str">
        <x:v>6절 2년</x:v>
      </x:c>
      <x:c r="G97" s="20" t="str">
        <x:v>CU</x:v>
      </x:c>
      <x:c r="H97" s="22" t="str"/>
      <x:c r="I97" s="24" t="str">
        <x:v>05-1-4</x:v>
      </x:c>
      <x:c r="J97" s="20" t="str">
        <x:v>평가소 근접판</x:v>
      </x:c>
      <x:c r="K97" s="16" t="str">
        <x:v>코어가 한 번 밝아졌다 가라앉는다</x:v>
      </x:c>
      <x:c r="L97" s="16" t="str">
        <x:v>코어가 한 번 밝아졌다 가라앉는다</x:v>
      </x:c>
      <x:c r="M97" s="16" t="str"/>
      <x:c r="N97" s="16" t="str"/>
      <x:c r="O97" s="16" t="str">
        <x:v>380px · 여백 좁</x:v>
      </x:c>
      <x:c r="P97" s="16" t="str">
        <x:v>Close on the nape of a neck. An amber core brightens once then dims.</x:v>
      </x:c>
      <x:c r="Q97" s="16" t="str">
        <x:v>RANK_SYSTEM</x:v>
      </x:c>
      <x:c r="R97" s="16" t="str"/>
      <x:c r="S97" s="16" t="str">
        <x:v>C 등급의 보상과 불안을 동시에 학습</x:v>
      </x:c>
      <x:c r="T97" s="16" t="str">
        <x:v>후속 정보가 생기면 행동·배경의 의미를 재검토</x:v>
      </x:c>
      <x:c r="U97" s="16" t="str">
        <x:v>각인 / 성장 대가 / 수거</x:v>
      </x:c>
      <x:c r="V97" s="16" t="str">
        <x:v>등급 UI를 세계 내 사물로 먼저 학습</x:v>
      </x:c>
      <x:c r="W97" s="16"/>
      <x:c r="X97" s="22" t="str">
        <x:v>NONE</x:v>
      </x:c>
      <x:c r="Y97" s="16" t="str">
        <x:v>GLOBAL-VIS-01</x:v>
      </x:c>
      <x:c r="Z97" s="22" t="str">
        <x:v>SOURCE</x:v>
      </x:c>
      <x:c r="AA97" s="22"/>
      <x:c r="AB97" s="16"/>
      <x:c r="AC97" s="16" t="str">
        <x:v>EP01_대본_전량_001-282(2).md</x:v>
      </x:c>
      <x:c r="AD97" s="22" t="n">
        <x:v>1230</x:v>
      </x:c>
      <x:c r="AE97" s="139" t="str">
        <x:v>NOT_APPLICABLE</x:v>
      </x:c>
      <x:c r="AF97" s="139" t="str">
        <x:v>NONE</x:v>
      </x:c>
    </x:row>
    <x:row r="98" ht="72" customHeight="1">
      <x:c r="A98" s="24" t="str">
        <x:v>097</x:v>
      </x:c>
      <x:c r="B98" s="26" t="str">
        <x:v>B097-097</x:v>
      </x:c>
      <x:c r="C98" s="22" t="n">
        <x:v>1</x:v>
      </x:c>
      <x:c r="D98" s="22" t="str">
        <x:v>1/1</x:v>
      </x:c>
      <x:c r="E98" s="26" t="str">
        <x:v>EP01-S06</x:v>
      </x:c>
      <x:c r="F98" s="20" t="str">
        <x:v>6절 2년</x:v>
      </x:c>
      <x:c r="G98" s="20" t="str">
        <x:v>인서트</x:v>
      </x:c>
      <x:c r="H98" s="22" t="str"/>
      <x:c r="I98" s="24" t="str">
        <x:v>05-1-4</x:v>
      </x:c>
      <x:c r="J98" s="20" t="str">
        <x:v>평가소 근접판</x:v>
      </x:c>
      <x:c r="K98" s="16" t="str">
        <x:v>홀로그램 수치 — 공명 주파수·결정 밀도·신경 결합률</x:v>
      </x:c>
      <x:c r="L98" s="16" t="str">
        <x:v>홀로그램 수치 — 공명 주파수·결정 밀도·신경 결합률</x:v>
      </x:c>
      <x:c r="M98" s="16" t="str"/>
      <x:c r="N98" s="16" t="str"/>
      <x:c r="O98" s="16" t="str">
        <x:v>380px · 여백 좁</x:v>
      </x:c>
      <x:c r="P98" s="16" t="str">
        <x:v>Floating readout figures beside a scan column.</x:v>
      </x:c>
      <x:c r="Q98" s="16" t="str">
        <x:v>RANK_SYSTEM</x:v>
      </x:c>
      <x:c r="R98" s="16" t="str"/>
      <x:c r="S98" s="16" t="str">
        <x:v>C 등급의 보상과 불안을 동시에 학습</x:v>
      </x:c>
      <x:c r="T98" s="16" t="str">
        <x:v>후속 정보가 생기면 행동·배경의 의미를 재검토</x:v>
      </x:c>
      <x:c r="U98" s="16" t="str">
        <x:v>각인 / 성장 대가 / 수거</x:v>
      </x:c>
      <x:c r="V98" s="16" t="str">
        <x:v>등급 UI를 세계 내 사물로 먼저 학습</x:v>
      </x:c>
      <x:c r="W98" s="16"/>
      <x:c r="X98" s="22" t="str">
        <x:v>NONE</x:v>
      </x:c>
      <x:c r="Y98" s="16" t="str">
        <x:v>GLOBAL-VIS-01</x:v>
      </x:c>
      <x:c r="Z98" s="22" t="str">
        <x:v>SOURCE</x:v>
      </x:c>
      <x:c r="AA98" s="22"/>
      <x:c r="AB98" s="16"/>
      <x:c r="AC98" s="16" t="str">
        <x:v>EP01_대본_전량_001-282(2).md</x:v>
      </x:c>
      <x:c r="AD98" s="22" t="n">
        <x:v>1242</x:v>
      </x:c>
      <x:c r="AE98" s="139" t="str">
        <x:v>NOT_APPLICABLE</x:v>
      </x:c>
      <x:c r="AF98" s="139" t="str">
        <x:v>NONE</x:v>
      </x:c>
    </x:row>
    <x:row r="99" ht="72" customHeight="1">
      <x:c r="A99" s="24" t="str">
        <x:v>098</x:v>
      </x:c>
      <x:c r="B99" s="26" t="str">
        <x:v>B098-098</x:v>
      </x:c>
      <x:c r="C99" s="22" t="n">
        <x:v>1</x:v>
      </x:c>
      <x:c r="D99" s="22" t="str">
        <x:v>1/1</x:v>
      </x:c>
      <x:c r="E99" s="26" t="str">
        <x:v>EP01-S06</x:v>
      </x:c>
      <x:c r="F99" s="20" t="str">
        <x:v>6절 2년</x:v>
      </x:c>
      <x:c r="G99" s="20" t="str">
        <x:v>ECU</x:v>
      </x:c>
      <x:c r="H99" s="22" t="str">
        <x:v>🎣</x:v>
      </x:c>
      <x:c r="I99" s="24" t="str">
        <x:v>05-1-4</x:v>
      </x:c>
      <x:c r="J99" s="20" t="str">
        <x:v>평가소 근접판</x:v>
      </x:c>
      <x:c r="K99" s="16" t="str">
        <x:v>한구석에서 붉은 것이 한 번 튄다</x:v>
      </x:c>
      <x:c r="L99" s="16" t="str">
        <x:v>한구석에서 붉은 것이 한 번 튄다</x:v>
      </x:c>
      <x:c r="M99" s="16" t="str"/>
      <x:c r="N99" s="16" t="str"/>
      <x:c r="O99" s="16" t="str">
        <x:v>360px · 여백 중</x:v>
      </x:c>
      <x:c r="P99" s="16" t="str">
        <x:v>A readout graph. In one corner a red spike flickers once. Do not emphasize. No one looks at it.</x:v>
      </x:c>
      <x:c r="Q99" s="16" t="str">
        <x:v>RANK_SYSTEM</x:v>
      </x:c>
      <x:c r="R99" s="16" t="str">
        <x:v>FORESHADOW</x:v>
      </x:c>
      <x:c r="S99" s="16" t="str">
        <x:v>C 등급의 보상과 불안을 동시에 학습</x:v>
      </x:c>
      <x:c r="T99" s="16" t="str">
        <x:v>처음에는 배경·노이즈로 보인 정보의 의미가 바뀜 / EP23 이후 ‘성장 가능성’이 축하가 아니라 성숙 판정으로 뒤집힘</x:v>
      </x:c>
      <x:c r="U99" s="16" t="str">
        <x:v>성장 대가 / 등급 / 결정권</x:v>
      </x:c>
      <x:c r="V99" s="16" t="str">
        <x:v>등급 UI를 세계 내 사물로 먼저 학습</x:v>
      </x:c>
      <x:c r="W99" s="16" t="str">
        <x:v>OPEN: 붉은 스파이크 — 원인 확정 없이 ‘이상 신호’로 유지</x:v>
      </x:c>
      <x:c r="X99" s="22" t="str">
        <x:v>OPEN</x:v>
      </x:c>
      <x:c r="Y99" s="16" t="str">
        <x:v>복선 강조 금지 / GLOBAL-VIS-01</x:v>
      </x:c>
      <x:c r="Z99" s="22" t="str">
        <x:v>SOURCE</x:v>
      </x:c>
      <x:c r="AA99" s="22"/>
      <x:c r="AB99" s="16" t="str">
        <x:v>강조 금지. 후속 유사 신호·해석 단서는 선택 사항이며 정답 제시 의무 없음.</x:v>
      </x:c>
      <x:c r="AC99" s="16" t="str">
        <x:v>EP01_대본_전량_001-282(2).md</x:v>
      </x:c>
      <x:c r="AD99" s="22" t="n">
        <x:v>1254</x:v>
      </x:c>
      <x:c r="AE99" s="139" t="str">
        <x:v>INDETERMINATE</x:v>
      </x:c>
      <x:c r="AF99" s="139" t="str">
        <x:v>NO_ANSWER_PROMISE</x:v>
      </x:c>
    </x:row>
    <x:row r="100" ht="72" customHeight="1">
      <x:c r="A100" s="24" t="str">
        <x:v>099</x:v>
      </x:c>
      <x:c r="B100" s="26" t="str">
        <x:v>B099-099</x:v>
      </x:c>
      <x:c r="C100" s="22" t="n">
        <x:v>1</x:v>
      </x:c>
      <x:c r="D100" s="22" t="str">
        <x:v>1/1</x:v>
      </x:c>
      <x:c r="E100" s="26" t="str">
        <x:v>EP01-S06</x:v>
      </x:c>
      <x:c r="F100" s="20" t="str">
        <x:v>6절 2년</x:v>
      </x:c>
      <x:c r="G100" s="20" t="str">
        <x:v>CU</x:v>
      </x:c>
      <x:c r="H100" s="22" t="str">
        <x:v>⭐</x:v>
      </x:c>
      <x:c r="I100" s="24" t="str">
        <x:v>05-1-4</x:v>
      </x:c>
      <x:c r="J100" s="20" t="str">
        <x:v>평가소 근접판</x:v>
      </x:c>
      <x:c r="K100" s="16" t="str">
        <x:v>수치가 멈춘다. C 구간 상단</x:v>
      </x:c>
      <x:c r="L100" s="16" t="str">
        <x:v>수치가 멈춘다. C 구간 상단</x:v>
      </x:c>
      <x:c r="M100" s="16" t="str"/>
      <x:c r="N100" s="16" t="str"/>
      <x:c r="O100" s="16" t="str">
        <x:v>400px · 여백 좁</x:v>
      </x:c>
      <x:c r="P100" s="16" t="str">
        <x:v>A readout stops at the upper edge of the C band.</x:v>
      </x:c>
      <x:c r="Q100" s="16" t="str">
        <x:v>RANK_SYSTEM</x:v>
      </x:c>
      <x:c r="R100" s="16" t="str">
        <x:v>SIGNATURE</x:v>
      </x:c>
      <x:c r="S100" s="16" t="str">
        <x:v>C 등급의 보상과 불안을 동시에 학습</x:v>
      </x:c>
      <x:c r="T100" s="16" t="str">
        <x:v>시그니처 상징의 기원 / EP23 이후 ‘성장 가능성’이 축하가 아니라 성숙 판정으로 뒤집힘</x:v>
      </x:c>
      <x:c r="U100" s="16" t="str">
        <x:v>성장 대가 / 등급 / 결정권</x:v>
      </x:c>
      <x:c r="V100" s="16" t="str">
        <x:v>등급 UI를 세계 내 사물로 먼저 학습</x:v>
      </x:c>
      <x:c r="W100" s="16" t="str">
        <x:v>PAYOFF: EP23: 등급·성숙·수거의 진실</x:v>
      </x:c>
      <x:c r="X100" s="22" t="str">
        <x:v>PAYOFF</x:v>
      </x:c>
      <x:c r="Y100" s="16" t="str">
        <x:v>GLOBAL-VIS-01</x:v>
      </x:c>
      <x:c r="Z100" s="22" t="str">
        <x:v>SOURCE</x:v>
      </x:c>
      <x:c r="AA100" s="22"/>
      <x:c r="AB100" s="16"/>
      <x:c r="AC100" s="16" t="str">
        <x:v>EP01_대본_전량_001-282(2).md</x:v>
      </x:c>
      <x:c r="AD100" s="22" t="n">
        <x:v>1266</x:v>
      </x:c>
      <x:c r="AE100" s="139" t="str">
        <x:v>PUBLIC_CANON</x:v>
      </x:c>
      <x:c r="AF100" s="139" t="str">
        <x:v>CONTRACT</x:v>
      </x:c>
    </x:row>
    <x:row r="101" ht="72" customHeight="1">
      <x:c r="A101" s="24" t="str">
        <x:v>100</x:v>
      </x:c>
      <x:c r="B101" s="26" t="str">
        <x:v>B100-100</x:v>
      </x:c>
      <x:c r="C101" s="22" t="n">
        <x:v>1</x:v>
      </x:c>
      <x:c r="D101" s="22" t="str">
        <x:v>1/1</x:v>
      </x:c>
      <x:c r="E101" s="26" t="str">
        <x:v>EP01-S06</x:v>
      </x:c>
      <x:c r="F101" s="20" t="str">
        <x:v>6절 2년</x:v>
      </x:c>
      <x:c r="G101" s="20" t="str">
        <x:v>ECU</x:v>
      </x:c>
      <x:c r="H101" s="22" t="str">
        <x:v>⭐🎣</x:v>
      </x:c>
      <x:c r="I101" s="24" t="str">
        <x:v>05-1-4</x:v>
      </x:c>
      <x:c r="J101" s="20" t="str">
        <x:v>평가소 근접판</x:v>
      </x:c>
      <x:c r="K101" s="16" t="str">
        <x:v>확대. 바로 위 B 경계선. 손가락 하나 차이</x:v>
      </x:c>
      <x:c r="L101" s="16" t="str">
        <x:v>확대. 바로 위 B 경계선. 손가락 하나 차이</x:v>
      </x:c>
      <x:c r="M101" s="16" t="str">
        <x:v>나레이션: 2년을 아껴 쓴 결과가 그것이었다.</x:v>
      </x:c>
      <x:c r="N101" s="16" t="str"/>
      <x:c r="O101" s="16" t="str">
        <x:v>430px · 여백 극</x:v>
      </x:c>
      <x:c r="P101" s="16" t="str">
        <x:v>Extreme close on a gauge. The needle sits a finger's width below the B line.</x:v>
      </x:c>
      <x:c r="Q101" s="16" t="str">
        <x:v>RANK_SYSTEM</x:v>
      </x:c>
      <x:c r="R101" s="16" t="str">
        <x:v>SIGNATURE / FORESHADOW</x:v>
      </x:c>
      <x:c r="S101" s="16" t="str">
        <x:v>C 등급의 보상과 불안을 동시에 학습</x:v>
      </x:c>
      <x:c r="T101" s="16" t="str">
        <x:v>처음에는 배경·노이즈로 보인 정보의 의미가 바뀜 / 시그니처 상징의 기원 / EP23 이후 ‘성장 가능성’이 축하가 아니라 성숙 판정으로 뒤집힘</x:v>
      </x:c>
      <x:c r="U101" s="16" t="str">
        <x:v>손 / 놓침 / 책임</x:v>
      </x:c>
      <x:c r="V101" s="16" t="str">
        <x:v>등급 UI를 세계 내 사물로 먼저 학습</x:v>
      </x:c>
      <x:c r="W101" s="16" t="str">
        <x:v>PAYOFF: EP23: 등급·성숙·수거의 진실</x:v>
      </x:c>
      <x:c r="X101" s="22" t="str">
        <x:v>PAYOFF</x:v>
      </x:c>
      <x:c r="Y101" s="16" t="str">
        <x:v>복선 강조 금지 / GLOBAL-VIS-01</x:v>
      </x:c>
      <x:c r="Z101" s="22" t="str">
        <x:v>SOURCE</x:v>
      </x:c>
      <x:c r="AA101" s="22"/>
      <x:c r="AB101" s="16"/>
      <x:c r="AC101" s="16" t="str">
        <x:v>EP01_대본_전량_001-282(2).md</x:v>
      </x:c>
      <x:c r="AD101" s="22" t="n">
        <x:v>1278</x:v>
      </x:c>
      <x:c r="AE101" s="139" t="str">
        <x:v>PUBLIC_CANON</x:v>
      </x:c>
      <x:c r="AF101" s="139" t="str">
        <x:v>CONTRACT</x:v>
      </x:c>
    </x:row>
    <x:row r="102" ht="72" customHeight="1">
      <x:c r="A102" s="24" t="str">
        <x:v>101</x:v>
      </x:c>
      <x:c r="B102" s="26" t="str">
        <x:v>B101-101</x:v>
      </x:c>
      <x:c r="C102" s="22" t="n">
        <x:v>1</x:v>
      </x:c>
      <x:c r="D102" s="22" t="str">
        <x:v>1/1</x:v>
      </x:c>
      <x:c r="E102" s="26" t="str">
        <x:v>EP01-S06</x:v>
      </x:c>
      <x:c r="F102" s="20" t="str">
        <x:v>6절 2년</x:v>
      </x:c>
      <x:c r="G102" s="20" t="str">
        <x:v>MS 유진</x:v>
      </x:c>
      <x:c r="H102" s="22" t="str"/>
      <x:c r="I102" s="24" t="str">
        <x:v>05-1-1</x:v>
      </x:c>
      <x:c r="J102" s="20" t="str">
        <x:v>유진 데스크</x:v>
      </x:c>
      <x:c r="K102" s="16" t="str">
        <x:v>각인기를 끌어당긴다</x:v>
      </x:c>
      <x:c r="L102" s="16" t="str">
        <x:v>각인기를 끌어당긴다</x:v>
      </x:c>
      <x:c r="M102" s="16" t="str"/>
      <x:c r="N102" s="16" t="str"/>
      <x:c r="O102" s="16" t="str">
        <x:v>400px · 여백 좁</x:v>
      </x:c>
      <x:c r="P102" s="16" t="str">
        <x:v>The woman pulling a stamping device toward her.</x:v>
      </x:c>
      <x:c r="Q102" s="16" t="str">
        <x:v>RANK_SYSTEM</x:v>
      </x:c>
      <x:c r="R102" s="16" t="str"/>
      <x:c r="S102" s="16" t="str">
        <x:v>C 등급의 보상과 불안을 동시에 학습</x:v>
      </x:c>
      <x:c r="T102" s="16" t="str">
        <x:v>EP23 이후 ‘성장 가능성’이 축하가 아니라 성숙 판정으로 뒤집힘</x:v>
      </x:c>
      <x:c r="U102" s="16" t="str">
        <x:v>성장 대가 / 등급 / 결정권</x:v>
      </x:c>
      <x:c r="V102" s="16" t="str">
        <x:v>등급 UI를 세계 내 사물로 먼저 학습</x:v>
      </x:c>
      <x:c r="W102" s="16"/>
      <x:c r="X102" s="22" t="str">
        <x:v>NONE</x:v>
      </x:c>
      <x:c r="Y102" s="16" t="str">
        <x:v>아인 왼쪽 견갑·오른쪽 건틀릿 좌우 고정 / GLOBAL-VIS-01</x:v>
      </x:c>
      <x:c r="Z102" s="22" t="str">
        <x:v>SOURCE</x:v>
      </x:c>
      <x:c r="AA102" s="22"/>
      <x:c r="AB102" s="16"/>
      <x:c r="AC102" s="16" t="str">
        <x:v>EP01_대본_전량_001-282(2).md</x:v>
      </x:c>
      <x:c r="AD102" s="22" t="n">
        <x:v>1291</x:v>
      </x:c>
      <x:c r="AE102" s="139" t="str">
        <x:v>NOT_APPLICABLE</x:v>
      </x:c>
      <x:c r="AF102" s="139" t="str">
        <x:v>NONE</x:v>
      </x:c>
    </x:row>
    <x:row r="103" ht="72" customHeight="1">
      <x:c r="A103" s="24" t="str">
        <x:v>102</x:v>
      </x:c>
      <x:c r="B103" s="26" t="str">
        <x:v>B102-102</x:v>
      </x:c>
      <x:c r="C103" s="22" t="n">
        <x:v>1</x:v>
      </x:c>
      <x:c r="D103" s="22" t="str">
        <x:v>1/1</x:v>
      </x:c>
      <x:c r="E103" s="26" t="str">
        <x:v>EP01-S06</x:v>
      </x:c>
      <x:c r="F103" s="20" t="str">
        <x:v>6절 2년</x:v>
      </x:c>
      <x:c r="G103" s="20" t="str">
        <x:v>ECU</x:v>
      </x:c>
      <x:c r="H103" s="22" t="str"/>
      <x:c r="I103" s="24" t="str">
        <x:v>05-1-4</x:v>
      </x:c>
      <x:c r="J103" s="20" t="str">
        <x:v>평가소 근접판</x:v>
      </x:c>
      <x:c r="K103" s="16" t="str">
        <x:v>금속 인식표에 글자가 눌러 박힌다 — C</x:v>
      </x:c>
      <x:c r="L103" s="16" t="str">
        <x:v>금속 인식표에 글자가 눌러 박힌다 — C</x:v>
      </x:c>
      <x:c r="M103" s="16" t="str"/>
      <x:c r="N103" s="16" t="str">
        <x:v>치익—</x:v>
      </x:c>
      <x:c r="O103" s="16" t="str">
        <x:v>400px · 여백 중</x:v>
      </x:c>
      <x:c r="P103" s="16" t="str">
        <x:v>Extreme close. A letter C being pressed into a metal tag. Smoke.</x:v>
      </x:c>
      <x:c r="Q103" s="16" t="str">
        <x:v>RANK_SYSTEM</x:v>
      </x:c>
      <x:c r="R103" s="16" t="str"/>
      <x:c r="S103" s="16" t="str">
        <x:v>C 등급의 보상과 불안을 동시에 학습</x:v>
      </x:c>
      <x:c r="T103" s="16" t="str">
        <x:v>EP23 이후 ‘성장 가능성’이 축하가 아니라 성숙 판정으로 뒤집힘</x:v>
      </x:c>
      <x:c r="U103" s="16" t="str">
        <x:v>등급 / 성숙 / 결정권</x:v>
      </x:c>
      <x:c r="V103" s="16" t="str">
        <x:v>등급 UI를 세계 내 사물로 먼저 학습</x:v>
      </x:c>
      <x:c r="W103" s="16"/>
      <x:c r="X103" s="22" t="str">
        <x:v>NONE</x:v>
      </x:c>
      <x:c r="Y103" s="16" t="str">
        <x:v>GLOBAL-VIS-01</x:v>
      </x:c>
      <x:c r="Z103" s="22" t="str">
        <x:v>SOURCE</x:v>
      </x:c>
      <x:c r="AA103" s="22"/>
      <x:c r="AB103" s="16"/>
      <x:c r="AC103" s="16" t="str">
        <x:v>EP01_대본_전량_001-282(2).md</x:v>
      </x:c>
      <x:c r="AD103" s="22" t="n">
        <x:v>1303</x:v>
      </x:c>
      <x:c r="AE103" s="139" t="str">
        <x:v>NOT_APPLICABLE</x:v>
      </x:c>
      <x:c r="AF103" s="139" t="str">
        <x:v>NONE</x:v>
      </x:c>
    </x:row>
    <x:row r="104" ht="72" customHeight="1">
      <x:c r="A104" s="24" t="str">
        <x:v>103</x:v>
      </x:c>
      <x:c r="B104" s="26" t="str">
        <x:v>B103-103</x:v>
      </x:c>
      <x:c r="C104" s="22" t="n">
        <x:v>1</x:v>
      </x:c>
      <x:c r="D104" s="22" t="str">
        <x:v>1/1</x:v>
      </x:c>
      <x:c r="E104" s="26" t="str">
        <x:v>EP01-S06</x:v>
      </x:c>
      <x:c r="F104" s="20" t="str">
        <x:v>6절 2년</x:v>
      </x:c>
      <x:c r="G104" s="20" t="str">
        <x:v>MS 유진</x:v>
      </x:c>
      <x:c r="H104" s="22" t="str"/>
      <x:c r="I104" s="24" t="str">
        <x:v>05-1-1</x:v>
      </x:c>
      <x:c r="J104" s="20" t="str">
        <x:v>유진 데스크</x:v>
      </x:c>
      <x:c r="K104" s="16" t="str">
        <x:v>태블릿을 보며</x:v>
      </x:c>
      <x:c r="L104" s="16" t="str">
        <x:v>태블릿을 보며</x:v>
      </x:c>
      <x:c r="M104" s="16" t="str">
        <x:v>대사 · 유진: 「아인 용병. 척추 코어 공명 확인.」</x:v>
      </x:c>
      <x:c r="N104" s="16" t="str"/>
      <x:c r="O104" s="16" t="str">
        <x:v>400px · 여백 좁</x:v>
      </x:c>
      <x:c r="P104" s="16" t="str">
        <x:v>The woman reading from her tablet.</x:v>
      </x:c>
      <x:c r="Q104" s="16" t="str">
        <x:v>RANK_SYSTEM</x:v>
      </x:c>
      <x:c r="R104" s="16" t="str"/>
      <x:c r="S104" s="16" t="str">
        <x:v>C 등급의 보상과 불안을 동시에 학습</x:v>
      </x:c>
      <x:c r="T104" s="16" t="str">
        <x:v>EP23 이후 ‘성장 가능성’이 축하가 아니라 성숙 판정으로 뒤집힘</x:v>
      </x:c>
      <x:c r="U104" s="16" t="str">
        <x:v>성장 대가 / 등급 / 결정권</x:v>
      </x:c>
      <x:c r="V104" s="16" t="str">
        <x:v>등급 UI를 세계 내 사물로 먼저 학습</x:v>
      </x:c>
      <x:c r="W104" s="16"/>
      <x:c r="X104" s="22" t="str">
        <x:v>NONE</x:v>
      </x:c>
      <x:c r="Y104" s="16" t="str">
        <x:v>아인 왼쪽 견갑·오른쪽 건틀릿 좌우 고정 / GLOBAL-VIS-01</x:v>
      </x:c>
      <x:c r="Z104" s="22" t="str">
        <x:v>SOURCE</x:v>
      </x:c>
      <x:c r="AA104" s="22"/>
      <x:c r="AB104" s="16"/>
      <x:c r="AC104" s="16" t="str">
        <x:v>EP01_대본_전량_001-282(2).md</x:v>
      </x:c>
      <x:c r="AD104" s="22" t="n">
        <x:v>1316</x:v>
      </x:c>
      <x:c r="AE104" s="139" t="str">
        <x:v>NOT_APPLICABLE</x:v>
      </x:c>
      <x:c r="AF104" s="139" t="str">
        <x:v>NONE</x:v>
      </x:c>
    </x:row>
    <x:row r="105" ht="72" customHeight="1">
      <x:c r="A105" s="24" t="str">
        <x:v>104</x:v>
      </x:c>
      <x:c r="B105" s="26" t="str">
        <x:v>B104-104</x:v>
      </x:c>
      <x:c r="C105" s="22" t="n">
        <x:v>1</x:v>
      </x:c>
      <x:c r="D105" s="22" t="str">
        <x:v>1/1</x:v>
      </x:c>
      <x:c r="E105" s="26" t="str">
        <x:v>EP01-S06</x:v>
      </x:c>
      <x:c r="F105" s="20" t="str">
        <x:v>6절 2년</x:v>
      </x:c>
      <x:c r="G105" s="20" t="str">
        <x:v>CU</x:v>
      </x:c>
      <x:c r="H105" s="22" t="str"/>
      <x:c r="I105" s="24" t="str">
        <x:v>05-1-4</x:v>
      </x:c>
      <x:c r="J105" s="20" t="str">
        <x:v>평가소 근접판</x:v>
      </x:c>
      <x:c r="K105" s="16" t="str">
        <x:v>아직 뜨거운 인식표가 건네진다</x:v>
      </x:c>
      <x:c r="L105" s="16" t="str">
        <x:v>아직 뜨거운 인식표가 건네진다</x:v>
      </x:c>
      <x:c r="M105" s="16" t="str"/>
      <x:c r="N105" s="16" t="str"/>
      <x:c r="O105" s="16" t="str">
        <x:v>380px · 여백 좁</x:v>
      </x:c>
      <x:c r="P105" s="16" t="str">
        <x:v>A still-hot metal tag being handed across.</x:v>
      </x:c>
      <x:c r="Q105" s="16" t="str">
        <x:v>RANK_SYSTEM</x:v>
      </x:c>
      <x:c r="R105" s="16" t="str"/>
      <x:c r="S105" s="16" t="str">
        <x:v>C 등급의 보상과 불안을 동시에 학습</x:v>
      </x:c>
      <x:c r="T105" s="16" t="str">
        <x:v>EP23 이후 ‘성장 가능성’이 축하가 아니라 성숙 판정으로 뒤집힘</x:v>
      </x:c>
      <x:c r="U105" s="16" t="str">
        <x:v>등급 / 성숙 / 결정권</x:v>
      </x:c>
      <x:c r="V105" s="16" t="str">
        <x:v>등급 UI를 세계 내 사물로 먼저 학습</x:v>
      </x:c>
      <x:c r="W105" s="16"/>
      <x:c r="X105" s="22" t="str">
        <x:v>NONE</x:v>
      </x:c>
      <x:c r="Y105" s="16" t="str">
        <x:v>GLOBAL-VIS-01</x:v>
      </x:c>
      <x:c r="Z105" s="22" t="str">
        <x:v>SOURCE</x:v>
      </x:c>
      <x:c r="AA105" s="22"/>
      <x:c r="AB105" s="16"/>
      <x:c r="AC105" s="16" t="str">
        <x:v>EP01_대본_전량_001-282(2).md</x:v>
      </x:c>
      <x:c r="AD105" s="22" t="n">
        <x:v>1329</x:v>
      </x:c>
      <x:c r="AE105" s="139" t="str">
        <x:v>NOT_APPLICABLE</x:v>
      </x:c>
      <x:c r="AF105" s="139" t="str">
        <x:v>NONE</x:v>
      </x:c>
    </x:row>
    <x:row r="106" ht="72" customHeight="1">
      <x:c r="A106" s="24" t="str">
        <x:v>105</x:v>
      </x:c>
      <x:c r="B106" s="26" t="str">
        <x:v>B105-105</x:v>
      </x:c>
      <x:c r="C106" s="22" t="n">
        <x:v>1</x:v>
      </x:c>
      <x:c r="D106" s="22" t="str">
        <x:v>1/1</x:v>
      </x:c>
      <x:c r="E106" s="26" t="str">
        <x:v>EP01-S06</x:v>
      </x:c>
      <x:c r="F106" s="20" t="str">
        <x:v>6절 2년</x:v>
      </x:c>
      <x:c r="G106" s="20" t="str">
        <x:v>MS</x:v>
      </x:c>
      <x:c r="H106" s="22" t="str">
        <x:v>🎣</x:v>
      </x:c>
      <x:c r="I106" s="24" t="str">
        <x:v>05-1-4</x:v>
      </x:c>
      <x:c r="J106" s="20" t="str">
        <x:v>평가소 근접판</x:v>
      </x:c>
      <x:c r="K106" s="16" t="str">
        <x:v>아인은 고개만 까딱하고 목에 건다</x:v>
      </x:c>
      <x:c r="L106" s="16" t="str">
        <x:v>아인은 고개만 까딱하고 목에 건다</x:v>
      </x:c>
      <x:c r="M106" s="16" t="str">
        <x:v>대사 · 유진: 「…성장 가능성이 '아주 유망'하군요. 축하드립니다.」</x:v>
      </x:c>
      <x:c r="N106" s="16" t="str"/>
      <x:c r="O106" s="16" t="str">
        <x:v>430px · 여백 넓</x:v>
      </x:c>
      <x:c r="P106" s="16" t="str">
        <x:v>A young woman hanging a tag around her neck with only a nod.</x:v>
      </x:c>
      <x:c r="Q106" s="16" t="str">
        <x:v>RANK_SYSTEM</x:v>
      </x:c>
      <x:c r="R106" s="16" t="str">
        <x:v>FORESHADOW</x:v>
      </x:c>
      <x:c r="S106" s="16" t="str">
        <x:v>C 등급의 보상과 불안을 동시에 학습</x:v>
      </x:c>
      <x:c r="T106" s="16" t="str">
        <x:v>처음에는 배경·노이즈로 보인 정보의 의미가 바뀜 / EP23 이후 ‘성장 가능성’이 축하가 아니라 성숙 판정으로 뒤집힘</x:v>
      </x:c>
      <x:c r="U106" s="16" t="str">
        <x:v>성장 대가 / 등급 / 결정권</x:v>
      </x:c>
      <x:c r="V106" s="16" t="str">
        <x:v>등급 UI를 세계 내 사물로 먼저 학습</x:v>
      </x:c>
      <x:c r="W106" s="16" t="str">
        <x:v>PAYOFF: EP23: 등급·성숙·수거의 진실</x:v>
      </x:c>
      <x:c r="X106" s="22" t="str">
        <x:v>PAYOFF</x:v>
      </x:c>
      <x:c r="Y106" s="16" t="str">
        <x:v>복선 강조 금지 / 아인 왼쪽 견갑·오른쪽 건틀릿 좌우 고정 / GLOBAL-VIS-01</x:v>
      </x:c>
      <x:c r="Z106" s="22" t="str">
        <x:v>SOURCE</x:v>
      </x:c>
      <x:c r="AA106" s="22"/>
      <x:c r="AB106" s="16"/>
      <x:c r="AC106" s="16" t="str">
        <x:v>EP01_대본_전량_001-282(2).md</x:v>
      </x:c>
      <x:c r="AD106" s="22" t="n">
        <x:v>1341</x:v>
      </x:c>
      <x:c r="AE106" s="139" t="str">
        <x:v>PUBLIC_CANON</x:v>
      </x:c>
      <x:c r="AF106" s="139" t="str">
        <x:v>CONTRACT</x:v>
      </x:c>
    </x:row>
    <x:row r="107" ht="72" customHeight="1">
      <x:c r="A107" s="24" t="str">
        <x:v>106</x:v>
      </x:c>
      <x:c r="B107" s="26" t="str">
        <x:v>B106-106</x:v>
      </x:c>
      <x:c r="C107" s="22" t="n">
        <x:v>1</x:v>
      </x:c>
      <x:c r="D107" s="22" t="str">
        <x:v>1/1</x:v>
      </x:c>
      <x:c r="E107" s="26" t="str">
        <x:v>EP01-S06</x:v>
      </x:c>
      <x:c r="F107" s="20" t="str">
        <x:v>6절 2년</x:v>
      </x:c>
      <x:c r="G107" s="20" t="str">
        <x:v>MS</x:v>
      </x:c>
      <x:c r="H107" s="22" t="str"/>
      <x:c r="I107" s="24" t="str">
        <x:v>05-1-3</x:v>
      </x:c>
      <x:c r="J107" s="20" t="str">
        <x:v>발판·스캔</x:v>
      </x:c>
      <x:c r="K107" s="16" t="str">
        <x:v>카인이 발판에 오른다. 빔이 훑고 지나간다</x:v>
      </x:c>
      <x:c r="L107" s="16" t="str">
        <x:v>카인이 발판에 오른다. 빔이 훑고 지나간다</x:v>
      </x:c>
      <x:c r="M107" s="16" t="str"/>
      <x:c r="N107" s="16" t="str">
        <x:v>위이이잉—</x:v>
      </x:c>
      <x:c r="O107" s="16" t="str">
        <x:v>470px · 여백 좁</x:v>
      </x:c>
      <x:c r="P107" s="16" t="str">
        <x:v>A large man stepping onto the platform, the beam sweeping over him.</x:v>
      </x:c>
      <x:c r="Q107" s="16" t="str">
        <x:v>RANK_SYSTEM</x:v>
      </x:c>
      <x:c r="R107" s="16" t="str"/>
      <x:c r="S107" s="16" t="str">
        <x:v>C 등급의 보상과 불안을 동시에 학습</x:v>
      </x:c>
      <x:c r="T107" s="16" t="str">
        <x:v>후속 정보가 생기면 행동·배경의 의미를 재검토</x:v>
      </x:c>
      <x:c r="U107" s="16" t="str">
        <x:v>거리 / 보호 / 선택</x:v>
      </x:c>
      <x:c r="V107" s="16" t="str">
        <x:v>등급 UI를 세계 내 사물로 먼저 학습</x:v>
      </x:c>
      <x:c r="W107" s="16"/>
      <x:c r="X107" s="22" t="str">
        <x:v>NONE</x:v>
      </x:c>
      <x:c r="Y107" s="16" t="str">
        <x:v>GLOBAL-VIS-01</x:v>
      </x:c>
      <x:c r="Z107" s="22" t="str">
        <x:v>SOURCE</x:v>
      </x:c>
      <x:c r="AA107" s="22"/>
      <x:c r="AB107" s="16"/>
      <x:c r="AC107" s="16" t="str">
        <x:v>EP01_대본_전량_001-282(2).md</x:v>
      </x:c>
      <x:c r="AD107" s="22" t="n">
        <x:v>1354</x:v>
      </x:c>
      <x:c r="AE107" s="139" t="str">
        <x:v>NOT_APPLICABLE</x:v>
      </x:c>
      <x:c r="AF107" s="139" t="str">
        <x:v>NONE</x:v>
      </x:c>
    </x:row>
    <x:row r="108" ht="72" customHeight="1">
      <x:c r="A108" s="24" t="str">
        <x:v>107</x:v>
      </x:c>
      <x:c r="B108" s="26" t="str">
        <x:v>B107-107</x:v>
      </x:c>
      <x:c r="C108" s="22" t="n">
        <x:v>1</x:v>
      </x:c>
      <x:c r="D108" s="22" t="str">
        <x:v>1/1</x:v>
      </x:c>
      <x:c r="E108" s="26" t="str">
        <x:v>EP01-S06</x:v>
      </x:c>
      <x:c r="F108" s="20" t="str">
        <x:v>6절 2년</x:v>
      </x:c>
      <x:c r="G108" s="20" t="str">
        <x:v>ECU</x:v>
      </x:c>
      <x:c r="H108" s="22" t="str"/>
      <x:c r="I108" s="24" t="str">
        <x:v>05-1-4</x:v>
      </x:c>
      <x:c r="J108" s="20" t="str">
        <x:v>평가소 근접판</x:v>
      </x:c>
      <x:c r="K108" s="16" t="str">
        <x:v>C</x:v>
      </x:c>
      <x:c r="L108" s="16" t="str">
        <x:v>C</x:v>
      </x:c>
      <x:c r="M108" s="16" t="str"/>
      <x:c r="N108" s="16" t="str">
        <x:v>치익—</x:v>
      </x:c>
      <x:c r="O108" s="16" t="str">
        <x:v>380px · 여백 좁</x:v>
      </x:c>
      <x:c r="P108" s="16" t="str">
        <x:v>Extreme close. A letter C pressed into a second tag.</x:v>
      </x:c>
      <x:c r="Q108" s="16" t="str">
        <x:v>RANK_SYSTEM</x:v>
      </x:c>
      <x:c r="R108" s="16" t="str"/>
      <x:c r="S108" s="16" t="str">
        <x:v>C 등급의 보상과 불안을 동시에 학습</x:v>
      </x:c>
      <x:c r="T108" s="16" t="str">
        <x:v>후속 정보가 생기면 행동·배경의 의미를 재검토</x:v>
      </x:c>
      <x:c r="U108" s="16" t="str">
        <x:v>성장 대가 / 등급 / 결정권</x:v>
      </x:c>
      <x:c r="V108" s="16" t="str">
        <x:v>등급 UI를 세계 내 사물로 먼저 학습</x:v>
      </x:c>
      <x:c r="W108" s="16"/>
      <x:c r="X108" s="22" t="str">
        <x:v>NONE</x:v>
      </x:c>
      <x:c r="Y108" s="16" t="str">
        <x:v>GLOBAL-VIS-01</x:v>
      </x:c>
      <x:c r="Z108" s="22" t="str">
        <x:v>SOURCE</x:v>
      </x:c>
      <x:c r="AA108" s="22"/>
      <x:c r="AB108" s="16"/>
      <x:c r="AC108" s="16" t="str">
        <x:v>EP01_대본_전량_001-282(2).md</x:v>
      </x:c>
      <x:c r="AD108" s="22" t="n">
        <x:v>1367</x:v>
      </x:c>
      <x:c r="AE108" s="139" t="str">
        <x:v>NOT_APPLICABLE</x:v>
      </x:c>
      <x:c r="AF108" s="139" t="str">
        <x:v>NONE</x:v>
      </x:c>
    </x:row>
    <x:row r="109" ht="72" customHeight="1">
      <x:c r="A109" s="24" t="str">
        <x:v>108</x:v>
      </x:c>
      <x:c r="B109" s="26" t="str">
        <x:v>B108-108</x:v>
      </x:c>
      <x:c r="C109" s="22" t="n">
        <x:v>1</x:v>
      </x:c>
      <x:c r="D109" s="22" t="str">
        <x:v>1/1</x:v>
      </x:c>
      <x:c r="E109" s="26" t="str">
        <x:v>EP01-S06</x:v>
      </x:c>
      <x:c r="F109" s="20" t="str">
        <x:v>6절 2년</x:v>
      </x:c>
      <x:c r="G109" s="20" t="str">
        <x:v>CU</x:v>
      </x:c>
      <x:c r="H109" s="22" t="str">
        <x:v>🤫</x:v>
      </x:c>
      <x:c r="I109" s="24" t="str">
        <x:v>05-1-4</x:v>
      </x:c>
      <x:c r="J109" s="20" t="str">
        <x:v>평가소 근접판</x:v>
      </x:c>
      <x:c r="K109" s="16" t="str">
        <x:v>인식표를 받아 든 카인이 한참 들여다본다</x:v>
      </x:c>
      <x:c r="L109" s="16" t="str">
        <x:v>인식표를 받아 든 카인이 한참 들여다본다</x:v>
      </x:c>
      <x:c r="M109" s="16" t="str">
        <x:v>대사 · 카인: 「…이게 왜 C야.」</x:v>
      </x:c>
      <x:c r="N109" s="16" t="str"/>
      <x:c r="O109" s="16" t="str">
        <x:v>400px · 여백 중</x:v>
      </x:c>
      <x:c r="P109" s="16" t="str">
        <x:v>A large man staring at the tag in his palm for a long moment.</x:v>
      </x:c>
      <x:c r="Q109" s="16" t="str">
        <x:v>RANK_SYSTEM</x:v>
      </x:c>
      <x:c r="R109" s="16" t="str">
        <x:v>SILENT_ACTING</x:v>
      </x:c>
      <x:c r="S109" s="16" t="str">
        <x:v>C 등급의 보상과 불안을 동시에 학습</x:v>
      </x:c>
      <x:c r="T109" s="16" t="str">
        <x:v>침묵한 반응의 이유를 후발 정보로 다시 읽음</x:v>
      </x:c>
      <x:c r="U109" s="16" t="str">
        <x:v>등급 / 성숙 / 결정권</x:v>
      </x:c>
      <x:c r="V109" s="16" t="str">
        <x:v>등급 UI를 세계 내 사물로 먼저 학습</x:v>
      </x:c>
      <x:c r="W109" s="16"/>
      <x:c r="X109" s="22" t="str">
        <x:v>NONE</x:v>
      </x:c>
      <x:c r="Y109" s="16" t="str">
        <x:v>대사 금지 또는 응답 없는 침묵 유지 / GLOBAL-VIS-01</x:v>
      </x:c>
      <x:c r="Z109" s="22" t="str">
        <x:v>SOURCE</x:v>
      </x:c>
      <x:c r="AA109" s="22"/>
      <x:c r="AB109" s="16"/>
      <x:c r="AC109" s="16" t="str">
        <x:v>EP01_대본_전량_001-282(2).md</x:v>
      </x:c>
      <x:c r="AD109" s="22" t="n">
        <x:v>1380</x:v>
      </x:c>
      <x:c r="AE109" s="139" t="str">
        <x:v>NOT_APPLICABLE</x:v>
      </x:c>
      <x:c r="AF109" s="139" t="str">
        <x:v>NONE</x:v>
      </x:c>
    </x:row>
    <x:row r="110" ht="72" customHeight="1">
      <x:c r="A110" s="24" t="str">
        <x:v>109</x:v>
      </x:c>
      <x:c r="B110" s="26" t="str">
        <x:v>B109-109</x:v>
      </x:c>
      <x:c r="C110" s="22" t="n">
        <x:v>1</x:v>
      </x:c>
      <x:c r="D110" s="22" t="str">
        <x:v>1/1</x:v>
      </x:c>
      <x:c r="E110" s="26" t="str">
        <x:v>EP01-S06</x:v>
      </x:c>
      <x:c r="F110" s="20" t="str">
        <x:v>6절 2년</x:v>
      </x:c>
      <x:c r="G110" s="20" t="str">
        <x:v>MS 유진</x:v>
      </x:c>
      <x:c r="H110" s="22" t="str"/>
      <x:c r="I110" s="24" t="str">
        <x:v>05-1-1</x:v>
      </x:c>
      <x:c r="J110" s="20" t="str">
        <x:v>유진 데스크</x:v>
      </x:c>
      <x:c r="K110" s="16" t="str">
        <x:v>태블릿을 넘기며. 눈도 마주치지 않는다</x:v>
      </x:c>
      <x:c r="L110" s="16" t="str">
        <x:v>태블릿을 넘기며. 눈도 마주치지 않는다</x:v>
      </x:c>
      <x:c r="M110" s="16" t="str">
        <x:v>대사 · 유진: 「대검 무게는 등급에 반영되지 않습니다. / 다음 분.」</x:v>
      </x:c>
      <x:c r="N110" s="16" t="str"/>
      <x:c r="O110" s="16" t="str">
        <x:v>430px · 여백 넓</x:v>
      </x:c>
      <x:c r="P110" s="16" t="str">
        <x:v>The woman swiping her tablet without looking up.</x:v>
      </x:c>
      <x:c r="Q110" s="16" t="str">
        <x:v>RANK_SYSTEM</x:v>
      </x:c>
      <x:c r="R110" s="16" t="str"/>
      <x:c r="S110" s="16" t="str">
        <x:v>C 등급의 보상과 불안을 동시에 학습</x:v>
      </x:c>
      <x:c r="T110" s="16" t="str">
        <x:v>후속 정보가 생기면 행동·배경의 의미를 재검토</x:v>
      </x:c>
      <x:c r="U110" s="16" t="str">
        <x:v>성장 대가 / 등급 / 결정권</x:v>
      </x:c>
      <x:c r="V110" s="16" t="str">
        <x:v>등급 UI를 세계 내 사물로 먼저 학습</x:v>
      </x:c>
      <x:c r="W110" s="16"/>
      <x:c r="X110" s="22" t="str">
        <x:v>NONE</x:v>
      </x:c>
      <x:c r="Y110" s="16" t="str">
        <x:v>아인 왼쪽 견갑·오른쪽 건틀릿 좌우 고정 / GLOBAL-VIS-01</x:v>
      </x:c>
      <x:c r="Z110" s="22" t="str">
        <x:v>SOURCE</x:v>
      </x:c>
      <x:c r="AA110" s="22"/>
      <x:c r="AB110" s="16"/>
      <x:c r="AC110" s="16" t="str">
        <x:v>EP01_대본_전량_001-282(2).md</x:v>
      </x:c>
      <x:c r="AD110" s="22" t="n">
        <x:v>1393</x:v>
      </x:c>
      <x:c r="AE110" s="139" t="str">
        <x:v>NOT_APPLICABLE</x:v>
      </x:c>
      <x:c r="AF110" s="139" t="str">
        <x:v>NONE</x:v>
      </x:c>
    </x:row>
    <x:row r="111" ht="72" customHeight="1">
      <x:c r="A111" s="24" t="str">
        <x:v>110</x:v>
      </x:c>
      <x:c r="B111" s="26" t="str">
        <x:v>B110-110</x:v>
      </x:c>
      <x:c r="C111" s="22" t="n">
        <x:v>1</x:v>
      </x:c>
      <x:c r="D111" s="22" t="str">
        <x:v>1/1</x:v>
      </x:c>
      <x:c r="E111" s="26" t="str">
        <x:v>EP01-S06</x:v>
      </x:c>
      <x:c r="F111" s="20" t="str">
        <x:v>6절 2년</x:v>
      </x:c>
      <x:c r="G111" s="20" t="str">
        <x:v>WIDE</x:v>
      </x:c>
      <x:c r="H111" s="22" t="str">
        <x:v>🤫🎭</x:v>
      </x:c>
      <x:c r="I111" s="24" t="str">
        <x:v>05-1-4</x:v>
      </x:c>
      <x:c r="J111" s="20" t="str">
        <x:v>평가소 근접판</x:v>
      </x:c>
      <x:c r="K111" s="16" t="str">
        <x:v>카인이 인식표를 목에 걸며 뒤돌아 걷는다. 복도. 카인 혼자. 빈 공간이 프레임의 절반</x:v>
      </x:c>
      <x:c r="L111" s="16" t="str">
        <x:v>카인이 인식표를 목에 걸며 뒤돌아 걷는다. 복도. 카인 혼자. 빈 공간이 프레임의 절반</x:v>
      </x:c>
      <x:c r="M111" s="16" t="str">
        <x:v>대사 · 카인: 「62킬로짜리를 한 손으로 드는데 C라니. / 그럼 대체 뭘 보고 매기는 거야. 눈으로 보면 알 거 아니야, 눈으로.」</x:v>
      </x:c>
      <x:c r="N111" s="16" t="str"/>
      <x:c r="O111" s="16" t="str">
        <x:v>560px · 여백 극</x:v>
      </x:c>
      <x:c r="P111" s="16" t="str">
        <x:v>A lone large man walking away down a corridor. Half the frame is empty space. Nobody else.</x:v>
      </x:c>
      <x:c r="Q111" s="16" t="str">
        <x:v>RANK_SYSTEM</x:v>
      </x:c>
      <x:c r="R111" s="16" t="str">
        <x:v>SILENT_ACTING / HUMAN_BEAT</x:v>
      </x:c>
      <x:c r="S111" s="16" t="str">
        <x:v>C 등급의 보상과 불안을 동시에 학습</x:v>
      </x:c>
      <x:c r="T111" s="16" t="str">
        <x:v>침묵한 반응의 이유를 후발 정보로 다시 읽음</x:v>
      </x:c>
      <x:c r="U111" s="16" t="str">
        <x:v>등급 / 성숙 / 결정권</x:v>
      </x:c>
      <x:c r="V111" s="16" t="str">
        <x:v>등급 UI를 세계 내 사물로 먼저 학습</x:v>
      </x:c>
      <x:c r="W111" s="16"/>
      <x:c r="X111" s="22" t="str">
        <x:v>NONE</x:v>
      </x:c>
      <x:c r="Y111" s="16" t="str">
        <x:v>대사 금지 또는 응답 없는 침묵 유지 / GLOBAL-VIS-01</x:v>
      </x:c>
      <x:c r="Z111" s="22" t="str">
        <x:v>SOURCE</x:v>
      </x:c>
      <x:c r="AA111" s="22"/>
      <x:c r="AB111" s="16"/>
      <x:c r="AC111" s="16" t="str">
        <x:v>EP01_대본_전량_001-282(2).md</x:v>
      </x:c>
      <x:c r="AD111" s="22" t="n">
        <x:v>1406</x:v>
      </x:c>
      <x:c r="AE111" s="139" t="str">
        <x:v>NOT_APPLICABLE</x:v>
      </x:c>
      <x:c r="AF111" s="139" t="str">
        <x:v>NONE</x:v>
      </x:c>
    </x:row>
    <x:row r="112" ht="72" customHeight="1">
      <x:c r="A112" s="24" t="str">
        <x:v>111</x:v>
      </x:c>
      <x:c r="B112" s="26" t="str">
        <x:v>B111-111</x:v>
      </x:c>
      <x:c r="C112" s="22" t="n">
        <x:v>1</x:v>
      </x:c>
      <x:c r="D112" s="22" t="str">
        <x:v>1/1</x:v>
      </x:c>
      <x:c r="E112" s="26" t="str">
        <x:v>EP01-S07</x:v>
      </x:c>
      <x:c r="F112" s="20" t="str">
        <x:v>7절 대장</x:v>
      </x:c>
      <x:c r="G112" s="20" t="str">
        <x:v>WIDE</x:v>
      </x:c>
      <x:c r="H112" s="22" t="str"/>
      <x:c r="I112" s="24" t="str">
        <x:v>05-1</x:v>
      </x:c>
      <x:c r="J112" s="20" t="str">
        <x:v>평가소</x:v>
      </x:c>
      <x:c r="K112" s="16" t="str">
        <x:v>두 사람이 나간 뒤의 빈 평가소</x:v>
      </x:c>
      <x:c r="L112" s="16" t="str">
        <x:v>두 사람이 나간 뒤의 빈 평가소</x:v>
      </x:c>
      <x:c r="M112" s="16" t="str"/>
      <x:c r="N112" s="16" t="str"/>
      <x:c r="O112" s="16" t="str">
        <x:v>430px · 여백 중</x:v>
      </x:c>
      <x:c r="P112" s="16" t="str">
        <x:v>An empty evaluation office after everyone has left.</x:v>
      </x:c>
      <x:c r="Q112" s="16" t="str">
        <x:v>ARCHIVE_FORESHADOW</x:v>
      </x:c>
      <x:c r="R112" s="16" t="str"/>
      <x:c r="S112" s="16" t="str">
        <x:v>시스템 뒤에 종이 장부와 이름이 남아 있음을 제시</x:v>
      </x:c>
      <x:c r="T112" s="16" t="str">
        <x:v>EP28의 이름 장부와 연결되어 기록의 목적이 달라짐</x:v>
      </x:c>
      <x:c r="U112" s="16" t="str">
        <x:v>선택 / 대가 / 침묵</x:v>
      </x:c>
      <x:c r="V112" s="16" t="str">
        <x:v>종이 장부·이름 기록을 영구 상태 저장으로 번역</x:v>
      </x:c>
      <x:c r="W112" s="16" t="str">
        <x:v>후반의 이름·기록 장면이 의미를 바꾸지만, 유진이 수기를 시작한 이유는 하나의 답으로 설명하지 않아도 됨</x:v>
      </x:c>
      <x:c r="X112" s="22" t="str">
        <x:v>REFRAME</x:v>
      </x:c>
      <x:c r="Y112" s="16" t="str">
        <x:v>GLOBAL-VIS-01</x:v>
      </x:c>
      <x:c r="Z112" s="22" t="str">
        <x:v>SOURCE</x:v>
      </x:c>
      <x:c r="AA112" s="22"/>
      <x:c r="AB112" s="16"/>
      <x:c r="AC112" s="16" t="str">
        <x:v>EP01_대본_전량_001-282(2).md</x:v>
      </x:c>
      <x:c r="AD112" s="22" t="n">
        <x:v>1425</x:v>
      </x:c>
      <x:c r="AE112" s="139" t="str">
        <x:v>INDETERMINATE</x:v>
      </x:c>
      <x:c r="AF112" s="139" t="str">
        <x:v>REFRAME_PROMISE</x:v>
      </x:c>
    </x:row>
    <x:row r="113" ht="72" customHeight="1">
      <x:c r="A113" s="24" t="str">
        <x:v>112</x:v>
      </x:c>
      <x:c r="B113" s="26" t="str">
        <x:v>B112-112</x:v>
      </x:c>
      <x:c r="C113" s="22" t="n">
        <x:v>1</x:v>
      </x:c>
      <x:c r="D113" s="22" t="str">
        <x:v>1/1</x:v>
      </x:c>
      <x:c r="E113" s="26" t="str">
        <x:v>EP01-S07</x:v>
      </x:c>
      <x:c r="F113" s="20" t="str">
        <x:v>7절 대장</x:v>
      </x:c>
      <x:c r="G113" s="20" t="str">
        <x:v>MS</x:v>
      </x:c>
      <x:c r="H113" s="22" t="str"/>
      <x:c r="I113" s="24" t="str">
        <x:v>05-1-1</x:v>
      </x:c>
      <x:c r="J113" s="20" t="str">
        <x:v>유진 데스크</x:v>
      </x:c>
      <x:c r="K113" s="16" t="str">
        <x:v>유진이 콘솔 아래 서랍을 연다</x:v>
      </x:c>
      <x:c r="L113" s="16" t="str">
        <x:v>유진이 콘솔 아래 서랍을 연다</x:v>
      </x:c>
      <x:c r="M113" s="16" t="str"/>
      <x:c r="N113" s="16" t="str">
        <x:v>드르륵</x:v>
      </x:c>
      <x:c r="O113" s="16" t="str">
        <x:v>400px · 여백 좁</x:v>
      </x:c>
      <x:c r="P113" s="16" t="str">
        <x:v>A woman opening a drawer beneath a console desk.</x:v>
      </x:c>
      <x:c r="Q113" s="16" t="str">
        <x:v>ARCHIVE_FORESHADOW</x:v>
      </x:c>
      <x:c r="R113" s="16" t="str"/>
      <x:c r="S113" s="16" t="str">
        <x:v>시스템 뒤에 종이 장부와 이름이 남아 있음을 제시</x:v>
      </x:c>
      <x:c r="T113" s="16" t="str">
        <x:v>EP28의 이름 장부와 연결되어 기록의 목적이 달라짐</x:v>
      </x:c>
      <x:c r="U113" s="16" t="str">
        <x:v>선택 / 대가 / 침묵</x:v>
      </x:c>
      <x:c r="V113" s="16" t="str">
        <x:v>종이 장부·이름 기록을 영구 상태 저장으로 번역</x:v>
      </x:c>
      <x:c r="W113" s="16" t="str">
        <x:v>후반의 이름·기록 장면이 의미를 바꾸지만, 유진이 수기를 시작한 이유는 하나의 답으로 설명하지 않아도 됨</x:v>
      </x:c>
      <x:c r="X113" s="22" t="str">
        <x:v>REFRAME</x:v>
      </x:c>
      <x:c r="Y113" s="16" t="str">
        <x:v>아인 왼쪽 견갑·오른쪽 건틀릿 좌우 고정 / GLOBAL-VIS-01</x:v>
      </x:c>
      <x:c r="Z113" s="22" t="str">
        <x:v>SOURCE</x:v>
      </x:c>
      <x:c r="AA113" s="22"/>
      <x:c r="AB113" s="16"/>
      <x:c r="AC113" s="16" t="str">
        <x:v>EP01_대본_전량_001-282(2).md</x:v>
      </x:c>
      <x:c r="AD113" s="22" t="n">
        <x:v>1437</x:v>
      </x:c>
      <x:c r="AE113" s="139" t="str">
        <x:v>INDETERMINATE</x:v>
      </x:c>
      <x:c r="AF113" s="139" t="str">
        <x:v>REFRAME_PROMISE</x:v>
      </x:c>
    </x:row>
    <x:row r="114" ht="72" customHeight="1">
      <x:c r="A114" s="24" t="str">
        <x:v>113</x:v>
      </x:c>
      <x:c r="B114" s="26" t="str">
        <x:v>B113-113</x:v>
      </x:c>
      <x:c r="C114" s="22" t="n">
        <x:v>1</x:v>
      </x:c>
      <x:c r="D114" s="22" t="str">
        <x:v>1/1</x:v>
      </x:c>
      <x:c r="E114" s="26" t="str">
        <x:v>EP01-S07</x:v>
      </x:c>
      <x:c r="F114" s="20" t="str">
        <x:v>7절 대장</x:v>
      </x:c>
      <x:c r="G114" s="20" t="str">
        <x:v>ECU</x:v>
      </x:c>
      <x:c r="H114" s="22" t="str"/>
      <x:c r="I114" s="24" t="str">
        <x:v>05-1-4</x:v>
      </x:c>
      <x:c r="J114" s="20" t="str">
        <x:v>평가소 근접판</x:v>
      </x:c>
      <x:c r="K114" s="16" t="str">
        <x:v>낡은 대학 노트. 볼펜 손글씨 「각인 평가 대장」</x:v>
      </x:c>
      <x:c r="L114" s="16" t="str">
        <x:v>낡은 대학 노트. 볼펜 손글씨 「각인 평가 대장」</x:v>
      </x:c>
      <x:c r="M114" s="16" t="str"/>
      <x:c r="N114" s="16" t="str"/>
      <x:c r="O114" s="16" t="str">
        <x:v>400px · 여백 중</x:v>
      </x:c>
      <x:c r="P114" s="16" t="str">
        <x:v>Extreme close on a worn notebook cover with handwritten Korean title.</x:v>
      </x:c>
      <x:c r="Q114" s="16" t="str">
        <x:v>ARCHIVE_FORESHADOW</x:v>
      </x:c>
      <x:c r="R114" s="16" t="str"/>
      <x:c r="S114" s="16" t="str">
        <x:v>시스템 뒤에 종이 장부와 이름이 남아 있음을 제시</x:v>
      </x:c>
      <x:c r="T114" s="16" t="str">
        <x:v>EP28의 이름 장부와 연결되어 기록의 목적이 달라짐</x:v>
      </x:c>
      <x:c r="U114" s="16" t="str">
        <x:v>손 / 놓침 / 책임 / 기록</x:v>
      </x:c>
      <x:c r="V114" s="16" t="str">
        <x:v>종이 장부·이름 기록을 영구 상태 저장으로 번역</x:v>
      </x:c>
      <x:c r="W114" s="16" t="str">
        <x:v>후반의 이름·기록 장면이 의미를 바꾸지만, 유진이 수기를 시작한 이유는 하나의 답으로 설명하지 않아도 됨</x:v>
      </x:c>
      <x:c r="X114" s="22" t="str">
        <x:v>REFRAME</x:v>
      </x:c>
      <x:c r="Y114" s="16" t="str">
        <x:v>GLOBAL-VIS-01</x:v>
      </x:c>
      <x:c r="Z114" s="22" t="str">
        <x:v>SOURCE</x:v>
      </x:c>
      <x:c r="AA114" s="22"/>
      <x:c r="AB114" s="16"/>
      <x:c r="AC114" s="16" t="str">
        <x:v>EP01_대본_전량_001-282(2).md</x:v>
      </x:c>
      <x:c r="AD114" s="22" t="n">
        <x:v>1450</x:v>
      </x:c>
      <x:c r="AE114" s="139" t="str">
        <x:v>INDETERMINATE</x:v>
      </x:c>
      <x:c r="AF114" s="139" t="str">
        <x:v>REFRAME_PROMISE</x:v>
      </x:c>
    </x:row>
    <x:row r="115" ht="72" customHeight="1">
      <x:c r="A115" s="24" t="str">
        <x:v>114</x:v>
      </x:c>
      <x:c r="B115" s="26" t="str">
        <x:v>B114-114</x:v>
      </x:c>
      <x:c r="C115" s="22" t="n">
        <x:v>1</x:v>
      </x:c>
      <x:c r="D115" s="22" t="str">
        <x:v>1/1</x:v>
      </x:c>
      <x:c r="E115" s="26" t="str">
        <x:v>EP01-S07</x:v>
      </x:c>
      <x:c r="F115" s="20" t="str">
        <x:v>7절 대장</x:v>
      </x:c>
      <x:c r="G115" s="20" t="str">
        <x:v>MS</x:v>
      </x:c>
      <x:c r="H115" s="22" t="str">
        <x:v>🤫</x:v>
      </x:c>
      <x:c r="I115" s="24" t="str">
        <x:v>05-1-1</x:v>
      </x:c>
      <x:c r="J115" s="20" t="str">
        <x:v>유진 데스크</x:v>
      </x:c>
      <x:c r="K115" s="16" t="str">
        <x:v>홀로그램 수치를 보며 손으로 옮겨 적는다</x:v>
      </x:c>
      <x:c r="L115" s="16" t="str">
        <x:v>홀로그램 수치를 보며 손으로 옮겨 적는다</x:v>
      </x:c>
      <x:c r="M115" s="16" t="str"/>
      <x:c r="N115" s="16" t="str"/>
      <x:c r="O115" s="16" t="str">
        <x:v>400px · 여백 좁</x:v>
      </x:c>
      <x:c r="P115" s="16" t="str">
        <x:v>A woman copying numbers by hand into a paper notebook.</x:v>
      </x:c>
      <x:c r="Q115" s="16" t="str">
        <x:v>ARCHIVE_FORESHADOW</x:v>
      </x:c>
      <x:c r="R115" s="16" t="str">
        <x:v>SILENT_ACTING</x:v>
      </x:c>
      <x:c r="S115" s="16" t="str">
        <x:v>시스템 뒤에 종이 장부와 이름이 남아 있음을 제시</x:v>
      </x:c>
      <x:c r="T115" s="16" t="str">
        <x:v>침묵한 반응의 이유를 후발 정보로 다시 읽음 / EP28의 이름 장부와 연결되어 기록의 목적이 달라짐</x:v>
      </x:c>
      <x:c r="U115" s="16" t="str">
        <x:v>손 / 놓침 / 책임</x:v>
      </x:c>
      <x:c r="V115" s="16" t="str">
        <x:v>종이 장부·이름 기록을 영구 상태 저장으로 번역</x:v>
      </x:c>
      <x:c r="W115" s="16" t="str">
        <x:v>후반의 이름·기록 장면이 의미를 바꾸지만, 유진이 수기를 시작한 이유는 하나의 답으로 설명하지 않아도 됨</x:v>
      </x:c>
      <x:c r="X115" s="22" t="str">
        <x:v>REFRAME</x:v>
      </x:c>
      <x:c r="Y115" s="16" t="str">
        <x:v>대사 금지 또는 응답 없는 침묵 유지 / 아인 왼쪽 견갑·오른쪽 건틀릿 좌우 고정 / GLOBAL-VIS-01</x:v>
      </x:c>
      <x:c r="Z115" s="22" t="str">
        <x:v>SOURCE</x:v>
      </x:c>
      <x:c r="AA115" s="22"/>
      <x:c r="AB115" s="16"/>
      <x:c r="AC115" s="16" t="str">
        <x:v>EP01_대본_전량_001-282(2).md</x:v>
      </x:c>
      <x:c r="AD115" s="22" t="n">
        <x:v>1462</x:v>
      </x:c>
      <x:c r="AE115" s="139" t="str">
        <x:v>INDETERMINATE</x:v>
      </x:c>
      <x:c r="AF115" s="139" t="str">
        <x:v>REFRAME_PROMISE</x:v>
      </x:c>
    </x:row>
    <x:row r="116" ht="72" customHeight="1">
      <x:c r="A116" s="24" t="str">
        <x:v>115</x:v>
      </x:c>
      <x:c r="B116" s="26" t="str">
        <x:v>B115-115</x:v>
      </x:c>
      <x:c r="C116" s="22" t="n">
        <x:v>1</x:v>
      </x:c>
      <x:c r="D116" s="22" t="str">
        <x:v>1/1</x:v>
      </x:c>
      <x:c r="E116" s="26" t="str">
        <x:v>EP01-S07</x:v>
      </x:c>
      <x:c r="F116" s="20" t="str">
        <x:v>7절 대장</x:v>
      </x:c>
      <x:c r="G116" s="20" t="str">
        <x:v>ECU</x:v>
      </x:c>
      <x:c r="H116" s="22" t="str"/>
      <x:c r="I116" s="24" t="str">
        <x:v>05-1-4</x:v>
      </x:c>
      <x:c r="J116" s="20" t="str">
        <x:v>평가소 근접판</x:v>
      </x:c>
      <x:c r="K116" s="16" t="str">
        <x:v>펜이 움직인다. 날짜·이름·등급</x:v>
      </x:c>
      <x:c r="L116" s="16" t="str">
        <x:v>펜이 움직인다. 날짜·이름·등급</x:v>
      </x:c>
      <x:c r="M116" s="16" t="str"/>
      <x:c r="N116" s="16" t="str"/>
      <x:c r="O116" s="16" t="str">
        <x:v>380px · 여백 좁</x:v>
      </x:c>
      <x:c r="P116" s="16" t="str">
        <x:v>Extreme close on a pen writing a date, a name, a grade.</x:v>
      </x:c>
      <x:c r="Q116" s="16" t="str">
        <x:v>ARCHIVE_FORESHADOW</x:v>
      </x:c>
      <x:c r="R116" s="16" t="str"/>
      <x:c r="S116" s="16" t="str">
        <x:v>시스템 뒤에 종이 장부와 이름이 남아 있음을 제시</x:v>
      </x:c>
      <x:c r="T116" s="16" t="str">
        <x:v>EP28의 이름 장부와 연결되어 기록의 목적이 달라짐</x:v>
      </x:c>
      <x:c r="U116" s="16" t="str">
        <x:v>등급 / 성숙 / 결정권</x:v>
      </x:c>
      <x:c r="V116" s="16" t="str">
        <x:v>종이 장부·이름 기록을 영구 상태 저장으로 번역</x:v>
      </x:c>
      <x:c r="W116" s="16" t="str">
        <x:v>후반의 이름·기록 장면이 의미를 바꾸지만, 유진이 수기를 시작한 이유는 하나의 답으로 설명하지 않아도 됨</x:v>
      </x:c>
      <x:c r="X116" s="22" t="str">
        <x:v>REFRAME</x:v>
      </x:c>
      <x:c r="Y116" s="16" t="str">
        <x:v>GLOBAL-VIS-01</x:v>
      </x:c>
      <x:c r="Z116" s="22" t="str">
        <x:v>SOURCE</x:v>
      </x:c>
      <x:c r="AA116" s="22"/>
      <x:c r="AB116" s="16"/>
      <x:c r="AC116" s="16" t="str">
        <x:v>EP01_대본_전량_001-282(2).md</x:v>
      </x:c>
      <x:c r="AD116" s="22" t="n">
        <x:v>1474</x:v>
      </x:c>
      <x:c r="AE116" s="139" t="str">
        <x:v>INDETERMINATE</x:v>
      </x:c>
      <x:c r="AF116" s="139" t="str">
        <x:v>REFRAME_PROMISE</x:v>
      </x:c>
    </x:row>
    <x:row r="117" ht="72" customHeight="1">
      <x:c r="A117" s="24" t="str">
        <x:v>116</x:v>
      </x:c>
      <x:c r="B117" s="26" t="str">
        <x:v>B116-116</x:v>
      </x:c>
      <x:c r="C117" s="22" t="n">
        <x:v>1</x:v>
      </x:c>
      <x:c r="D117" s="22" t="str">
        <x:v>1/1</x:v>
      </x:c>
      <x:c r="E117" s="26" t="str">
        <x:v>EP01-S07</x:v>
      </x:c>
      <x:c r="F117" s="20" t="str">
        <x:v>7절 대장</x:v>
      </x:c>
      <x:c r="G117" s="20" t="str">
        <x:v>인서트</x:v>
      </x:c>
      <x:c r="H117" s="22" t="str"/>
      <x:c r="I117" s="24" t="str">
        <x:v>05-1-4</x:v>
      </x:c>
      <x:c r="J117" s="20" t="str">
        <x:v>평가소 근접판</x:v>
      </x:c>
      <x:c r="K117" s="16" t="str">
        <x:v>「아인 / C / 상단」</x:v>
      </x:c>
      <x:c r="L117" s="16" t="str">
        <x:v>「아인 / C / 상단」</x:v>
      </x:c>
      <x:c r="M117" s="16" t="str"/>
      <x:c r="N117" s="16" t="str"/>
      <x:c r="O117" s="16" t="str">
        <x:v>340px · 여백 좁</x:v>
      </x:c>
      <x:c r="P117" s="16" t="str">
        <x:v>A notebook line reading a name, C, upper.</x:v>
      </x:c>
      <x:c r="Q117" s="16" t="str">
        <x:v>ARCHIVE_FORESHADOW</x:v>
      </x:c>
      <x:c r="R117" s="16" t="str"/>
      <x:c r="S117" s="16" t="str">
        <x:v>시스템 뒤에 종이 장부와 이름이 남아 있음을 제시</x:v>
      </x:c>
      <x:c r="T117" s="16" t="str">
        <x:v>EP28의 이름 장부와 연결되어 기록의 목적이 달라짐</x:v>
      </x:c>
      <x:c r="U117" s="16" t="str">
        <x:v>선택 / 대가 / 침묵</x:v>
      </x:c>
      <x:c r="V117" s="16" t="str">
        <x:v>종이 장부·이름 기록을 영구 상태 저장으로 번역</x:v>
      </x:c>
      <x:c r="W117" s="16" t="str">
        <x:v>후반의 이름·기록 장면이 의미를 바꾸지만, 유진이 수기를 시작한 이유는 하나의 답으로 설명하지 않아도 됨</x:v>
      </x:c>
      <x:c r="X117" s="22" t="str">
        <x:v>REFRAME</x:v>
      </x:c>
      <x:c r="Y117" s="16" t="str">
        <x:v>아인 왼쪽 견갑·오른쪽 건틀릿 좌우 고정 / GLOBAL-VIS-01</x:v>
      </x:c>
      <x:c r="Z117" s="22" t="str">
        <x:v>SOURCE</x:v>
      </x:c>
      <x:c r="AA117" s="22"/>
      <x:c r="AB117" s="16"/>
      <x:c r="AC117" s="16" t="str">
        <x:v>EP01_대본_전량_001-282(2).md</x:v>
      </x:c>
      <x:c r="AD117" s="22" t="n">
        <x:v>1486</x:v>
      </x:c>
      <x:c r="AE117" s="139" t="str">
        <x:v>INDETERMINATE</x:v>
      </x:c>
      <x:c r="AF117" s="139" t="str">
        <x:v>REFRAME_PROMISE</x:v>
      </x:c>
    </x:row>
    <x:row r="118" ht="72" customHeight="1">
      <x:c r="A118" s="24" t="str">
        <x:v>117</x:v>
      </x:c>
      <x:c r="B118" s="26" t="str">
        <x:v>B117-117</x:v>
      </x:c>
      <x:c r="C118" s="22" t="n">
        <x:v>1</x:v>
      </x:c>
      <x:c r="D118" s="22" t="str">
        <x:v>1/1</x:v>
      </x:c>
      <x:c r="E118" s="26" t="str">
        <x:v>EP01-S07</x:v>
      </x:c>
      <x:c r="F118" s="20" t="str">
        <x:v>7절 대장</x:v>
      </x:c>
      <x:c r="G118" s="20" t="str">
        <x:v>인서트</x:v>
      </x:c>
      <x:c r="H118" s="22" t="str"/>
      <x:c r="I118" s="24" t="str">
        <x:v>05-1-4</x:v>
      </x:c>
      <x:c r="J118" s="20" t="str">
        <x:v>평가소 근접판</x:v>
      </x:c>
      <x:c r="K118" s="16" t="str">
        <x:v>「카인 / C」</x:v>
      </x:c>
      <x:c r="L118" s="16" t="str">
        <x:v>「카인 / C」</x:v>
      </x:c>
      <x:c r="M118" s="16" t="str"/>
      <x:c r="N118" s="16" t="str"/>
      <x:c r="O118" s="16" t="str">
        <x:v>340px · 여백 중</x:v>
      </x:c>
      <x:c r="P118" s="16" t="str">
        <x:v>A notebook line reading a second name and C.</x:v>
      </x:c>
      <x:c r="Q118" s="16" t="str">
        <x:v>ARCHIVE_FORESHADOW</x:v>
      </x:c>
      <x:c r="R118" s="16" t="str"/>
      <x:c r="S118" s="16" t="str">
        <x:v>시스템 뒤에 종이 장부와 이름이 남아 있음을 제시</x:v>
      </x:c>
      <x:c r="T118" s="16" t="str">
        <x:v>EP28의 이름 장부와 연결되어 기록의 목적이 달라짐</x:v>
      </x:c>
      <x:c r="U118" s="16" t="str">
        <x:v>선택 / 대가 / 침묵</x:v>
      </x:c>
      <x:c r="V118" s="16" t="str">
        <x:v>종이 장부·이름 기록을 영구 상태 저장으로 번역</x:v>
      </x:c>
      <x:c r="W118" s="16" t="str">
        <x:v>후반의 이름·기록 장면이 의미를 바꾸지만, 유진이 수기를 시작한 이유는 하나의 답으로 설명하지 않아도 됨</x:v>
      </x:c>
      <x:c r="X118" s="22" t="str">
        <x:v>REFRAME</x:v>
      </x:c>
      <x:c r="Y118" s="16" t="str">
        <x:v>GLOBAL-VIS-01</x:v>
      </x:c>
      <x:c r="Z118" s="22" t="str">
        <x:v>SOURCE</x:v>
      </x:c>
      <x:c r="AA118" s="22"/>
      <x:c r="AB118" s="16"/>
      <x:c r="AC118" s="16" t="str">
        <x:v>EP01_대본_전량_001-282(2).md</x:v>
      </x:c>
      <x:c r="AD118" s="22" t="n">
        <x:v>1498</x:v>
      </x:c>
      <x:c r="AE118" s="139" t="str">
        <x:v>INDETERMINATE</x:v>
      </x:c>
      <x:c r="AF118" s="139" t="str">
        <x:v>REFRAME_PROMISE</x:v>
      </x:c>
    </x:row>
    <x:row r="119" ht="72" customHeight="1">
      <x:c r="A119" s="24" t="str">
        <x:v>118</x:v>
      </x:c>
      <x:c r="B119" s="26" t="str">
        <x:v>B118-118</x:v>
      </x:c>
      <x:c r="C119" s="22" t="n">
        <x:v>1</x:v>
      </x:c>
      <x:c r="D119" s="22" t="str">
        <x:v>1/1</x:v>
      </x:c>
      <x:c r="E119" s="26" t="str">
        <x:v>EP01-S07</x:v>
      </x:c>
      <x:c r="F119" s="20" t="str">
        <x:v>7절 대장</x:v>
      </x:c>
      <x:c r="G119" s="20" t="str">
        <x:v>ECU</x:v>
      </x:c>
      <x:c r="H119" s="22" t="str">
        <x:v>⭐🤫</x:v>
      </x:c>
      <x:c r="I119" s="24" t="str">
        <x:v>05-1-4</x:v>
      </x:c>
      <x:c r="J119" s="20" t="str">
        <x:v>평가소 근접판</x:v>
      </x:c>
      <x:c r="K119" s="16" t="str">
        <x:v>펜이 멈춘다. 여백에 작게 덧붙인다 — 「2년 무등록」</x:v>
      </x:c>
      <x:c r="L119" s="16" t="str">
        <x:v>펜이 멈춘다. 여백에 작게 덧붙인다 — 「2년 무등록」</x:v>
      </x:c>
      <x:c r="M119" s="16" t="str"/>
      <x:c r="N119" s="16" t="str"/>
      <x:c r="O119" s="16" t="str">
        <x:v>400px · 여백 극</x:v>
      </x:c>
      <x:c r="P119" s="16" t="str">
        <x:v>Extreme close. A pen pauses, then adds a small note in the margin.</x:v>
      </x:c>
      <x:c r="Q119" s="16" t="str">
        <x:v>ARCHIVE_FORESHADOW</x:v>
      </x:c>
      <x:c r="R119" s="16" t="str">
        <x:v>SIGNATURE / SILENT_ACTING</x:v>
      </x:c>
      <x:c r="S119" s="16" t="str">
        <x:v>시스템 뒤에 종이 장부와 이름이 남아 있음을 제시</x:v>
      </x:c>
      <x:c r="T119" s="16" t="str">
        <x:v>침묵한 반응의 이유를 후발 정보로 다시 읽음 / 시그니처 상징의 기원 / EP28의 이름 장부와 연결되어 기록의 목적이 달라짐</x:v>
      </x:c>
      <x:c r="U119" s="16" t="str">
        <x:v>선택 / 대가 / 침묵</x:v>
      </x:c>
      <x:c r="V119" s="16" t="str">
        <x:v>종이 장부·이름 기록을 영구 상태 저장으로 번역</x:v>
      </x:c>
      <x:c r="W119" s="16" t="str">
        <x:v>후반의 이름·기록 장면이 의미를 바꾸지만, 유진이 수기를 시작한 이유는 하나의 답으로 설명하지 않아도 됨</x:v>
      </x:c>
      <x:c r="X119" s="22" t="str">
        <x:v>REFRAME</x:v>
      </x:c>
      <x:c r="Y119" s="16" t="str">
        <x:v>대사 금지 또는 응답 없는 침묵 유지 / GLOBAL-VIS-01</x:v>
      </x:c>
      <x:c r="Z119" s="22" t="str">
        <x:v>SOURCE</x:v>
      </x:c>
      <x:c r="AA119" s="22"/>
      <x:c r="AB119" s="16"/>
      <x:c r="AC119" s="16" t="str">
        <x:v>EP01_대본_전량_001-282(2).md</x:v>
      </x:c>
      <x:c r="AD119" s="22" t="n">
        <x:v>1510</x:v>
      </x:c>
      <x:c r="AE119" s="139" t="str">
        <x:v>INDETERMINATE</x:v>
      </x:c>
      <x:c r="AF119" s="139" t="str">
        <x:v>REFRAME_PROMISE</x:v>
      </x:c>
    </x:row>
    <x:row r="120" ht="72" customHeight="1">
      <x:c r="A120" s="24" t="str">
        <x:v>119</x:v>
      </x:c>
      <x:c r="B120" s="26" t="str">
        <x:v>B119-119</x:v>
      </x:c>
      <x:c r="C120" s="22" t="n">
        <x:v>1</x:v>
      </x:c>
      <x:c r="D120" s="22" t="str">
        <x:v>1/1</x:v>
      </x:c>
      <x:c r="E120" s="26" t="str">
        <x:v>EP01-S07</x:v>
      </x:c>
      <x:c r="F120" s="20" t="str">
        <x:v>7절 대장</x:v>
      </x:c>
      <x:c r="G120" s="20" t="str">
        <x:v>MS</x:v>
      </x:c>
      <x:c r="H120" s="22" t="str"/>
      <x:c r="I120" s="24" t="str">
        <x:v>05-1-1</x:v>
      </x:c>
      <x:c r="J120" s="20" t="str">
        <x:v>유진 데스크</x:v>
      </x:c>
      <x:c r="K120" s="16" t="str">
        <x:v>유진이 노트를 덮는다</x:v>
      </x:c>
      <x:c r="L120" s="16" t="str">
        <x:v>유진이 노트를 덮는다</x:v>
      </x:c>
      <x:c r="M120" s="16" t="str"/>
      <x:c r="N120" s="16" t="str"/>
      <x:c r="O120" s="16" t="str">
        <x:v>400px · 여백 좁</x:v>
      </x:c>
      <x:c r="P120" s="16" t="str">
        <x:v>A woman closing a notebook.</x:v>
      </x:c>
      <x:c r="Q120" s="16" t="str">
        <x:v>ARCHIVE_FORESHADOW</x:v>
      </x:c>
      <x:c r="R120" s="16" t="str"/>
      <x:c r="S120" s="16" t="str">
        <x:v>시스템 뒤에 종이 장부와 이름이 남아 있음을 제시</x:v>
      </x:c>
      <x:c r="T120" s="16" t="str">
        <x:v>EP28의 이름 장부와 연결되어 기록의 목적이 달라짐</x:v>
      </x:c>
      <x:c r="U120" s="16" t="str">
        <x:v>기록 / 이름 / 손실</x:v>
      </x:c>
      <x:c r="V120" s="16" t="str">
        <x:v>종이 장부·이름 기록을 영구 상태 저장으로 번역</x:v>
      </x:c>
      <x:c r="W120" s="16" t="str">
        <x:v>후반의 이름·기록 장면이 의미를 바꾸지만, 유진이 수기를 시작한 이유는 하나의 답으로 설명하지 않아도 됨</x:v>
      </x:c>
      <x:c r="X120" s="22" t="str">
        <x:v>REFRAME</x:v>
      </x:c>
      <x:c r="Y120" s="16" t="str">
        <x:v>아인 왼쪽 견갑·오른쪽 건틀릿 좌우 고정 / GLOBAL-VIS-01</x:v>
      </x:c>
      <x:c r="Z120" s="22" t="str">
        <x:v>SOURCE</x:v>
      </x:c>
      <x:c r="AA120" s="22"/>
      <x:c r="AB120" s="16"/>
      <x:c r="AC120" s="16" t="str">
        <x:v>EP01_대본_전량_001-282(2).md</x:v>
      </x:c>
      <x:c r="AD120" s="22" t="n">
        <x:v>1522</x:v>
      </x:c>
      <x:c r="AE120" s="139" t="str">
        <x:v>INDETERMINATE</x:v>
      </x:c>
      <x:c r="AF120" s="139" t="str">
        <x:v>REFRAME_PROMISE</x:v>
      </x:c>
    </x:row>
    <x:row r="121" ht="72" customHeight="1">
      <x:c r="A121" s="24" t="str">
        <x:v>120</x:v>
      </x:c>
      <x:c r="B121" s="26" t="str">
        <x:v>B120-120</x:v>
      </x:c>
      <x:c r="C121" s="22" t="n">
        <x:v>1</x:v>
      </x:c>
      <x:c r="D121" s="22" t="str">
        <x:v>1/1</x:v>
      </x:c>
      <x:c r="E121" s="26" t="str">
        <x:v>EP01-S07</x:v>
      </x:c>
      <x:c r="F121" s="20" t="str">
        <x:v>7절 대장</x:v>
      </x:c>
      <x:c r="G121" s="20" t="str">
        <x:v>부감</x:v>
      </x:c>
      <x:c r="H121" s="22" t="str">
        <x:v>🤫🔒</x:v>
      </x:c>
      <x:c r="I121" s="24" t="str">
        <x:v>05-1-5</x:v>
      </x:c>
      <x:c r="J121" s="20" t="str">
        <x:v>서랍</x:v>
      </x:c>
      <x:c r="K121" s="16" t="str">
        <x:v>서랍 안. 같은 노트가 여러 권 쌓여 있다</x:v>
      </x:c>
      <x:c r="L121" s="16" t="str">
        <x:v>서랍 안. 같은 노트가 여러 권 쌓여 있다</x:v>
      </x:c>
      <x:c r="M121" s="16" t="str"/>
      <x:c r="N121" s="16" t="str"/>
      <x:c r="O121" s="16" t="str">
        <x:v>470px · 여백 넓</x:v>
      </x:c>
      <x:c r="P121" s="16" t="str">
        <x:v>Top down into an open drawer. Many identical worn notebooks stacked inside.</x:v>
      </x:c>
      <x:c r="Q121" s="16" t="str">
        <x:v>ARCHIVE_FORESHADOW</x:v>
      </x:c>
      <x:c r="R121" s="16" t="str">
        <x:v>SILENT_ACTING / CALLBACK</x:v>
      </x:c>
      <x:c r="S121" s="16" t="str">
        <x:v>시스템 뒤에 종이 장부와 이름이 남아 있음을 제시</x:v>
      </x:c>
      <x:c r="T121" s="16" t="str">
        <x:v>침묵한 반응의 이유를 후발 정보로 다시 읽음 / 동일 구도 반복이 관계·기억의 변화를 증명 / EP28의 이름 장부와 연결되어 기록의 목적이 달라짐</x:v>
      </x:c>
      <x:c r="U121" s="16" t="str">
        <x:v>기록 / 이름 / 손실</x:v>
      </x:c>
      <x:c r="V121" s="16" t="str">
        <x:v>종이 장부·이름 기록을 영구 상태 저장으로 번역</x:v>
      </x:c>
      <x:c r="W121" s="16" t="str">
        <x:v>후반의 이름·기록 장면이 의미를 바꾸지만, 유진이 수기를 시작한 이유는 하나의 답으로 설명하지 않아도 됨</x:v>
      </x:c>
      <x:c r="X121" s="22" t="str">
        <x:v>REFRAME</x:v>
      </x:c>
      <x:c r="Y121" s="16" t="str">
        <x:v>대사 금지 또는 응답 없는 침묵 유지 / 지정 컷과 동일 구도 / GLOBAL-VIS-01</x:v>
      </x:c>
      <x:c r="Z121" s="22" t="str">
        <x:v>SOURCE</x:v>
      </x:c>
      <x:c r="AA121" s="22"/>
      <x:c r="AB121" s="16"/>
      <x:c r="AC121" s="16" t="str">
        <x:v>EP01_대본_전량_001-282(2).md</x:v>
      </x:c>
      <x:c r="AD121" s="22" t="n">
        <x:v>1534</x:v>
      </x:c>
      <x:c r="AE121" s="139" t="str">
        <x:v>INDETERMINATE</x:v>
      </x:c>
      <x:c r="AF121" s="139" t="str">
        <x:v>REFRAME_PROMISE</x:v>
      </x:c>
    </x:row>
    <x:row r="122" ht="72" customHeight="1">
      <x:c r="A122" s="24" t="str">
        <x:v>121</x:v>
      </x:c>
      <x:c r="B122" s="26" t="str">
        <x:v>B121-121</x:v>
      </x:c>
      <x:c r="C122" s="22" t="n">
        <x:v>1</x:v>
      </x:c>
      <x:c r="D122" s="22" t="str">
        <x:v>1/1</x:v>
      </x:c>
      <x:c r="E122" s="26" t="str">
        <x:v>EP01-S07</x:v>
      </x:c>
      <x:c r="F122" s="20" t="str">
        <x:v>7절 대장</x:v>
      </x:c>
      <x:c r="G122" s="20" t="str">
        <x:v>CU</x:v>
      </x:c>
      <x:c r="H122" s="22" t="str">
        <x:v>🤫</x:v>
      </x:c>
      <x:c r="I122" s="24" t="str">
        <x:v>05-1-4</x:v>
      </x:c>
      <x:c r="J122" s="20" t="str">
        <x:v>평가소 근접판</x:v>
      </x:c>
      <x:c r="K122" s="16" t="str">
        <x:v>유진의 얼굴. 표정 없음</x:v>
      </x:c>
      <x:c r="L122" s="16" t="str">
        <x:v>유진의 얼굴. 표정 없음</x:v>
      </x:c>
      <x:c r="M122" s="16" t="str"/>
      <x:c r="N122" s="16" t="str"/>
      <x:c r="O122" s="16" t="str">
        <x:v>400px · 여백 중</x:v>
      </x:c>
      <x:c r="P122" s="16" t="str">
        <x:v>Close on a woman's face. No expression.</x:v>
      </x:c>
      <x:c r="Q122" s="16" t="str">
        <x:v>ROUTINE_SYSTEM</x:v>
      </x:c>
      <x:c r="R122" s="16" t="str">
        <x:v>SILENT_ACTING</x:v>
      </x:c>
      <x:c r="S122" s="16" t="str">
        <x:v>개인의 사건이 반복 가능한 제도로 작동함을 보여줌</x:v>
      </x:c>
      <x:c r="T122" s="16" t="str">
        <x:v>침묵한 반응의 이유를 후발 정보로 다시 읽음</x:v>
      </x:c>
      <x:c r="U122" s="16" t="str">
        <x:v>선택 / 대가 / 침묵</x:v>
      </x:c>
      <x:c r="V122" s="16" t="str">
        <x:v>반복 NPC 검사와 제도적 루프</x:v>
      </x:c>
      <x:c r="W122" s="16"/>
      <x:c r="X122" s="22" t="str">
        <x:v>NONE</x:v>
      </x:c>
      <x:c r="Y122" s="16" t="str">
        <x:v>대사 금지 또는 응답 없는 침묵 유지 / 아인 왼쪽 견갑·오른쪽 건틀릿 좌우 고정 / GLOBAL-VIS-01</x:v>
      </x:c>
      <x:c r="Z122" s="22" t="str">
        <x:v>SOURCE</x:v>
      </x:c>
      <x:c r="AA122" s="22"/>
      <x:c r="AB122" s="16"/>
      <x:c r="AC122" s="16" t="str">
        <x:v>EP01_대본_전량_001-282(2).md</x:v>
      </x:c>
      <x:c r="AD122" s="22" t="n">
        <x:v>1546</x:v>
      </x:c>
      <x:c r="AE122" s="139" t="str">
        <x:v>NOT_APPLICABLE</x:v>
      </x:c>
      <x:c r="AF122" s="139" t="str">
        <x:v>NONE</x:v>
      </x:c>
    </x:row>
    <x:row r="123" ht="72" customHeight="1">
      <x:c r="A123" s="24" t="str">
        <x:v>122</x:v>
      </x:c>
      <x:c r="B123" s="26" t="str">
        <x:v>B122-122</x:v>
      </x:c>
      <x:c r="C123" s="22" t="n">
        <x:v>1</x:v>
      </x:c>
      <x:c r="D123" s="22" t="str">
        <x:v>1/1</x:v>
      </x:c>
      <x:c r="E123" s="26" t="str">
        <x:v>EP01-S07</x:v>
      </x:c>
      <x:c r="F123" s="20" t="str">
        <x:v>7절 대장</x:v>
      </x:c>
      <x:c r="G123" s="20" t="str">
        <x:v>MS</x:v>
      </x:c>
      <x:c r="H123" s="22" t="str"/>
      <x:c r="I123" s="24" t="str">
        <x:v>05-1-1</x:v>
      </x:c>
      <x:c r="J123" s="20" t="str">
        <x:v>유진 데스크</x:v>
      </x:c>
      <x:c r="K123" s="16" t="str">
        <x:v>서랍을 닫는다</x:v>
      </x:c>
      <x:c r="L123" s="16" t="str">
        <x:v>서랍을 닫는다</x:v>
      </x:c>
      <x:c r="M123" s="16" t="str"/>
      <x:c r="N123" s="16" t="str">
        <x:v>탁</x:v>
      </x:c>
      <x:c r="O123" s="16" t="str">
        <x:v>380px · 여백 좁</x:v>
      </x:c>
      <x:c r="P123" s="16" t="str">
        <x:v>A drawer being pushed closed.</x:v>
      </x:c>
      <x:c r="Q123" s="16" t="str">
        <x:v>ROUTINE_SYSTEM</x:v>
      </x:c>
      <x:c r="R123" s="16" t="str"/>
      <x:c r="S123" s="16" t="str">
        <x:v>개인의 사건이 반복 가능한 제도로 작동함을 보여줌</x:v>
      </x:c>
      <x:c r="T123" s="16" t="str">
        <x:v>후속 정보가 생기면 행동·배경의 의미를 재검토</x:v>
      </x:c>
      <x:c r="U123" s="16" t="str">
        <x:v>선택 / 대가 / 침묵</x:v>
      </x:c>
      <x:c r="V123" s="16" t="str">
        <x:v>반복 NPC 검사와 제도적 루프</x:v>
      </x:c>
      <x:c r="W123" s="16"/>
      <x:c r="X123" s="22" t="str">
        <x:v>NONE</x:v>
      </x:c>
      <x:c r="Y123" s="16" t="str">
        <x:v>GLOBAL-VIS-01</x:v>
      </x:c>
      <x:c r="Z123" s="22" t="str">
        <x:v>SOURCE</x:v>
      </x:c>
      <x:c r="AA123" s="22"/>
      <x:c r="AB123" s="16"/>
      <x:c r="AC123" s="16" t="str">
        <x:v>EP01_대본_전량_001-282(2).md</x:v>
      </x:c>
      <x:c r="AD123" s="22" t="n">
        <x:v>1558</x:v>
      </x:c>
      <x:c r="AE123" s="139" t="str">
        <x:v>NOT_APPLICABLE</x:v>
      </x:c>
      <x:c r="AF123" s="139" t="str">
        <x:v>NONE</x:v>
      </x:c>
    </x:row>
    <x:row r="124" ht="72" customHeight="1">
      <x:c r="A124" s="24" t="str">
        <x:v>123</x:v>
      </x:c>
      <x:c r="B124" s="26" t="str">
        <x:v>B123-123</x:v>
      </x:c>
      <x:c r="C124" s="22" t="n">
        <x:v>1</x:v>
      </x:c>
      <x:c r="D124" s="22" t="str">
        <x:v>1/1</x:v>
      </x:c>
      <x:c r="E124" s="26" t="str">
        <x:v>EP01-S07</x:v>
      </x:c>
      <x:c r="F124" s="20" t="str">
        <x:v>7절 대장</x:v>
      </x:c>
      <x:c r="G124" s="20" t="str">
        <x:v>WIDE</x:v>
      </x:c>
      <x:c r="H124" s="22" t="str"/>
      <x:c r="I124" s="24" t="str">
        <x:v>05-1</x:v>
      </x:c>
      <x:c r="J124" s="20" t="str">
        <x:v>평가소</x:v>
      </x:c>
      <x:c r="K124" s="16" t="str">
        <x:v>다시 태블릿 앞에 앉는다</x:v>
      </x:c>
      <x:c r="L124" s="16" t="str">
        <x:v>다시 태블릿 앞에 앉는다</x:v>
      </x:c>
      <x:c r="M124" s="16" t="str"/>
      <x:c r="N124" s="16" t="str"/>
      <x:c r="O124" s="16" t="str">
        <x:v>430px · 여백 중</x:v>
      </x:c>
      <x:c r="P124" s="16" t="str">
        <x:v>The woman sitting back down at her console.</x:v>
      </x:c>
      <x:c r="Q124" s="16" t="str">
        <x:v>ROUTINE_SYSTEM</x:v>
      </x:c>
      <x:c r="R124" s="16" t="str"/>
      <x:c r="S124" s="16" t="str">
        <x:v>개인의 사건이 반복 가능한 제도로 작동함을 보여줌</x:v>
      </x:c>
      <x:c r="T124" s="16" t="str">
        <x:v>후속 정보가 생기면 행동·배경의 의미를 재검토</x:v>
      </x:c>
      <x:c r="U124" s="16" t="str">
        <x:v>선택 / 대가 / 침묵</x:v>
      </x:c>
      <x:c r="V124" s="16" t="str">
        <x:v>반복 NPC 검사와 제도적 루프</x:v>
      </x:c>
      <x:c r="W124" s="16"/>
      <x:c r="X124" s="22" t="str">
        <x:v>NONE</x:v>
      </x:c>
      <x:c r="Y124" s="16" t="str">
        <x:v>아인 왼쪽 견갑·오른쪽 건틀릿 좌우 고정 / GLOBAL-VIS-01</x:v>
      </x:c>
      <x:c r="Z124" s="22" t="str">
        <x:v>SOURCE</x:v>
      </x:c>
      <x:c r="AA124" s="22"/>
      <x:c r="AB124" s="16"/>
      <x:c r="AC124" s="16" t="str">
        <x:v>EP01_대본_전량_001-282(2).md</x:v>
      </x:c>
      <x:c r="AD124" s="22" t="n">
        <x:v>1571</x:v>
      </x:c>
      <x:c r="AE124" s="139" t="str">
        <x:v>NOT_APPLICABLE</x:v>
      </x:c>
      <x:c r="AF124" s="139" t="str">
        <x:v>NONE</x:v>
      </x:c>
    </x:row>
    <x:row r="125" ht="72" customHeight="1">
      <x:c r="A125" s="24" t="str">
        <x:v>124</x:v>
      </x:c>
      <x:c r="B125" s="26" t="str">
        <x:v>B124-124</x:v>
      </x:c>
      <x:c r="C125" s="22" t="n">
        <x:v>1</x:v>
      </x:c>
      <x:c r="D125" s="22" t="str">
        <x:v>1/1</x:v>
      </x:c>
      <x:c r="E125" s="26" t="str">
        <x:v>EP01-S07</x:v>
      </x:c>
      <x:c r="F125" s="20" t="str">
        <x:v>7절 대장</x:v>
      </x:c>
      <x:c r="G125" s="20" t="str">
        <x:v>EWIDE</x:v>
      </x:c>
      <x:c r="H125" s="22" t="str">
        <x:v>🎭</x:v>
      </x:c>
      <x:c r="I125" s="24" t="str">
        <x:v>05-1</x:v>
      </x:c>
      <x:c r="J125" s="20" t="str">
        <x:v>평가소</x:v>
      </x:c>
      <x:c r="K125" s="16" t="str">
        <x:v>빈 평가소. 유진 혼자. 형광등 소리만</x:v>
      </x:c>
      <x:c r="L125" s="16" t="str">
        <x:v>빈 평가소. 유진 혼자. 형광등 소리만</x:v>
      </x:c>
      <x:c r="M125" s="16" t="str"/>
      <x:c r="N125" s="16" t="str">
        <x:v>지—</x:v>
      </x:c>
      <x:c r="O125" s="16" t="str">
        <x:v>560px · 여백 극</x:v>
      </x:c>
      <x:c r="P125" s="16" t="str">
        <x:v>A wide empty evaluation office with one seated figure. Cold and still.</x:v>
      </x:c>
      <x:c r="Q125" s="16" t="str">
        <x:v>ROUTINE_SYSTEM</x:v>
      </x:c>
      <x:c r="R125" s="16" t="str">
        <x:v>HUMAN_BEAT</x:v>
      </x:c>
      <x:c r="S125" s="16" t="str">
        <x:v>개인의 사건이 반복 가능한 제도로 작동함을 보여줌</x:v>
      </x:c>
      <x:c r="T125" s="16" t="str">
        <x:v>후속 정보가 생기면 행동·배경의 의미를 재검토</x:v>
      </x:c>
      <x:c r="U125" s="16" t="str">
        <x:v>선택 / 대가 / 침묵</x:v>
      </x:c>
      <x:c r="V125" s="16" t="str">
        <x:v>반복 NPC 검사와 제도적 루프</x:v>
      </x:c>
      <x:c r="W125" s="16"/>
      <x:c r="X125" s="22" t="str">
        <x:v>NONE</x:v>
      </x:c>
      <x:c r="Y125" s="16" t="str">
        <x:v>GLOBAL-VIS-01</x:v>
      </x:c>
      <x:c r="Z125" s="22" t="str">
        <x:v>SOURCE</x:v>
      </x:c>
      <x:c r="AA125" s="22"/>
      <x:c r="AB125" s="16"/>
      <x:c r="AC125" s="16" t="str">
        <x:v>EP01_대본_전량_001-282(2).md</x:v>
      </x:c>
      <x:c r="AD125" s="22" t="n">
        <x:v>1583</x:v>
      </x:c>
      <x:c r="AE125" s="139" t="str">
        <x:v>NOT_APPLICABLE</x:v>
      </x:c>
      <x:c r="AF125" s="139" t="str">
        <x:v>NONE</x:v>
      </x:c>
    </x:row>
    <x:row r="126" ht="72" customHeight="1">
      <x:c r="A126" s="24" t="str">
        <x:v>125</x:v>
      </x:c>
      <x:c r="B126" s="26" t="str">
        <x:v>B125-125</x:v>
      </x:c>
      <x:c r="C126" s="22" t="n">
        <x:v>1</x:v>
      </x:c>
      <x:c r="D126" s="22" t="str">
        <x:v>1/1</x:v>
      </x:c>
      <x:c r="E126" s="26" t="str">
        <x:v>EP01-S07</x:v>
      </x:c>
      <x:c r="F126" s="20" t="str">
        <x:v>7절 대장</x:v>
      </x:c>
      <x:c r="G126" s="20" t="str">
        <x:v>인서트</x:v>
      </x:c>
      <x:c r="H126" s="22" t="str"/>
      <x:c r="I126" s="24" t="str">
        <x:v>05-1-2</x:v>
      </x:c>
      <x:c r="J126" s="20" t="str">
        <x:v>등급표 벽</x:v>
      </x:c>
      <x:c r="K126" s="16" t="str">
        <x:v>벽의 번호판. 다음 번호로 넘어간다</x:v>
      </x:c>
      <x:c r="L126" s="16" t="str">
        <x:v>벽의 번호판. 다음 번호로 넘어간다</x:v>
      </x:c>
      <x:c r="M126" s="16" t="str"/>
      <x:c r="N126" s="16" t="str">
        <x:v>딩—</x:v>
      </x:c>
      <x:c r="O126" s="16" t="str">
        <x:v>360px · 여백 좁</x:v>
      </x:c>
      <x:c r="P126" s="16" t="str">
        <x:v>A wall number display flipping to the next number.</x:v>
      </x:c>
      <x:c r="Q126" s="16" t="str">
        <x:v>ROUTINE_SYSTEM</x:v>
      </x:c>
      <x:c r="R126" s="16" t="str"/>
      <x:c r="S126" s="16" t="str">
        <x:v>개인의 사건이 반복 가능한 제도로 작동함을 보여줌</x:v>
      </x:c>
      <x:c r="T126" s="16" t="str">
        <x:v>후속 정보가 생기면 행동·배경의 의미를 재검토</x:v>
      </x:c>
      <x:c r="U126" s="16" t="str">
        <x:v>선택 / 대가 / 침묵</x:v>
      </x:c>
      <x:c r="V126" s="16" t="str">
        <x:v>반복 NPC 검사와 제도적 루프</x:v>
      </x:c>
      <x:c r="W126" s="16"/>
      <x:c r="X126" s="22" t="str">
        <x:v>NONE</x:v>
      </x:c>
      <x:c r="Y126" s="16" t="str">
        <x:v>GLOBAL-VIS-01</x:v>
      </x:c>
      <x:c r="Z126" s="22" t="str">
        <x:v>SOURCE</x:v>
      </x:c>
      <x:c r="AA126" s="22"/>
      <x:c r="AB126" s="16"/>
      <x:c r="AC126" s="16" t="str">
        <x:v>EP01_대본_전량_001-282(2).md</x:v>
      </x:c>
      <x:c r="AD126" s="22" t="n">
        <x:v>1596</x:v>
      </x:c>
      <x:c r="AE126" s="139" t="str">
        <x:v>NOT_APPLICABLE</x:v>
      </x:c>
      <x:c r="AF126" s="139" t="str">
        <x:v>NONE</x:v>
      </x:c>
    </x:row>
    <x:row r="127" ht="72" customHeight="1">
      <x:c r="A127" s="24" t="str">
        <x:v>126</x:v>
      </x:c>
      <x:c r="B127" s="26" t="str">
        <x:v>B126-126</x:v>
      </x:c>
      <x:c r="C127" s="22" t="n">
        <x:v>1</x:v>
      </x:c>
      <x:c r="D127" s="22" t="str">
        <x:v>1/1</x:v>
      </x:c>
      <x:c r="E127" s="26" t="str">
        <x:v>EP01-S07</x:v>
      </x:c>
      <x:c r="F127" s="20" t="str">
        <x:v>7절 대장</x:v>
      </x:c>
      <x:c r="G127" s="20" t="str">
        <x:v>MS</x:v>
      </x:c>
      <x:c r="H127" s="22" t="str">
        <x:v>🤫</x:v>
      </x:c>
      <x:c r="I127" s="24" t="str">
        <x:v>05-1-4</x:v>
      </x:c>
      <x:c r="J127" s="20" t="str">
        <x:v>평가소 근접판</x:v>
      </x:c>
      <x:c r="K127" s="16" t="str">
        <x:v>문이 열리고 다음 사람이 들어온다. 얼굴 안 보임</x:v>
      </x:c>
      <x:c r="L127" s="16" t="str">
        <x:v>문이 열리고 다음 사람이 들어온다. 얼굴 안 보임</x:v>
      </x:c>
      <x:c r="M127" s="16" t="str"/>
      <x:c r="N127" s="16" t="str"/>
      <x:c r="O127" s="16" t="str">
        <x:v>430px · 여백 중</x:v>
      </x:c>
      <x:c r="P127" s="16" t="str">
        <x:v>A door opening. A person enters. Their face is not visible.</x:v>
      </x:c>
      <x:c r="Q127" s="16" t="str">
        <x:v>ROUTINE_SYSTEM</x:v>
      </x:c>
      <x:c r="R127" s="16" t="str">
        <x:v>SILENT_ACTING</x:v>
      </x:c>
      <x:c r="S127" s="16" t="str">
        <x:v>개인의 사건이 반복 가능한 제도로 작동함을 보여줌</x:v>
      </x:c>
      <x:c r="T127" s="16" t="str">
        <x:v>침묵한 반응의 이유를 후발 정보로 다시 읽음</x:v>
      </x:c>
      <x:c r="U127" s="16" t="str">
        <x:v>선택 / 대가 / 침묵</x:v>
      </x:c>
      <x:c r="V127" s="16" t="str">
        <x:v>반복 NPC 검사와 제도적 루프</x:v>
      </x:c>
      <x:c r="W127" s="16"/>
      <x:c r="X127" s="22" t="str">
        <x:v>NONE</x:v>
      </x:c>
      <x:c r="Y127" s="16" t="str">
        <x:v>대사 금지 또는 응답 없는 침묵 유지 / GLOBAL-VIS-01</x:v>
      </x:c>
      <x:c r="Z127" s="22" t="str">
        <x:v>SOURCE</x:v>
      </x:c>
      <x:c r="AA127" s="22"/>
      <x:c r="AB127" s="16"/>
      <x:c r="AC127" s="16" t="str">
        <x:v>EP01_대본_전량_001-282(2).md</x:v>
      </x:c>
      <x:c r="AD127" s="22" t="n">
        <x:v>1609</x:v>
      </x:c>
      <x:c r="AE127" s="139" t="str">
        <x:v>NOT_APPLICABLE</x:v>
      </x:c>
      <x:c r="AF127" s="139" t="str">
        <x:v>NONE</x:v>
      </x:c>
    </x:row>
    <x:row r="128" ht="72" customHeight="1">
      <x:c r="A128" s="24" t="str">
        <x:v>127</x:v>
      </x:c>
      <x:c r="B128" s="26" t="str">
        <x:v>B127-127</x:v>
      </x:c>
      <x:c r="C128" s="22" t="n">
        <x:v>1</x:v>
      </x:c>
      <x:c r="D128" s="22" t="str">
        <x:v>1/1</x:v>
      </x:c>
      <x:c r="E128" s="26" t="str">
        <x:v>EP01-S07</x:v>
      </x:c>
      <x:c r="F128" s="20" t="str">
        <x:v>7절 대장</x:v>
      </x:c>
      <x:c r="G128" s="20" t="str">
        <x:v>CU 유진</x:v>
      </x:c>
      <x:c r="H128" s="22" t="str"/>
      <x:c r="I128" s="24" t="str">
        <x:v>05-1-1</x:v>
      </x:c>
      <x:c r="J128" s="20" t="str">
        <x:v>유진 데스크</x:v>
      </x:c>
      <x:c r="K128" s="16" t="str">
        <x:v>태블릿으로 시선을 내린다</x:v>
      </x:c>
      <x:c r="L128" s="16" t="str">
        <x:v>태블릿으로 시선을 내린다</x:v>
      </x:c>
      <x:c r="M128" s="16" t="str">
        <x:v>대사 · 유진: 「…발판 위로.」</x:v>
      </x:c>
      <x:c r="N128" s="16" t="str"/>
      <x:c r="O128" s="16" t="str">
        <x:v>400px · 여백 넓</x:v>
      </x:c>
      <x:c r="P128" s="16" t="str">
        <x:v>The woman lowering her gaze to the tablet again.</x:v>
      </x:c>
      <x:c r="Q128" s="16" t="str">
        <x:v>ROUTINE_SYSTEM</x:v>
      </x:c>
      <x:c r="R128" s="16" t="str"/>
      <x:c r="S128" s="16" t="str">
        <x:v>개인의 사건이 반복 가능한 제도로 작동함을 보여줌</x:v>
      </x:c>
      <x:c r="T128" s="16" t="str">
        <x:v>후속 정보가 생기면 행동·배경의 의미를 재검토</x:v>
      </x:c>
      <x:c r="U128" s="16" t="str">
        <x:v>선택 / 대가 / 침묵</x:v>
      </x:c>
      <x:c r="V128" s="16" t="str">
        <x:v>반복 NPC 검사와 제도적 루프</x:v>
      </x:c>
      <x:c r="W128" s="16"/>
      <x:c r="X128" s="22" t="str">
        <x:v>NONE</x:v>
      </x:c>
      <x:c r="Y128" s="16" t="str">
        <x:v>아인 왼쪽 견갑·오른쪽 건틀릿 좌우 고정 / GLOBAL-VIS-01</x:v>
      </x:c>
      <x:c r="Z128" s="22" t="str">
        <x:v>SOURCE</x:v>
      </x:c>
      <x:c r="AA128" s="22"/>
      <x:c r="AB128" s="16"/>
      <x:c r="AC128" s="16" t="str">
        <x:v>EP01_대본_전량_001-282(2).md</x:v>
      </x:c>
      <x:c r="AD128" s="22" t="n">
        <x:v>1621</x:v>
      </x:c>
      <x:c r="AE128" s="139" t="str">
        <x:v>NOT_APPLICABLE</x:v>
      </x:c>
      <x:c r="AF128" s="139" t="str">
        <x:v>NONE</x:v>
      </x:c>
    </x:row>
    <x:row r="129" ht="72" customHeight="1">
      <x:c r="A129" s="24" t="str">
        <x:v>128</x:v>
      </x:c>
      <x:c r="B129" s="26" t="str">
        <x:v>B128-128</x:v>
      </x:c>
      <x:c r="C129" s="22" t="n">
        <x:v>1</x:v>
      </x:c>
      <x:c r="D129" s="22" t="str">
        <x:v>1/1</x:v>
      </x:c>
      <x:c r="E129" s="26" t="str">
        <x:v>EP01-S07</x:v>
      </x:c>
      <x:c r="F129" s="20" t="str">
        <x:v>7절 대장</x:v>
      </x:c>
      <x:c r="G129" s="20" t="str">
        <x:v>WIDE</x:v>
      </x:c>
      <x:c r="H129" s="22" t="str"/>
      <x:c r="I129" s="24" t="str">
        <x:v>05-1</x:v>
      </x:c>
      <x:c r="J129" s="20" t="str">
        <x:v>평가소</x:v>
      </x:c>
      <x:c r="K129" s="16" t="str">
        <x:v>같은 구도. 사람만 다르다</x:v>
      </x:c>
      <x:c r="L129" s="16" t="str">
        <x:v>같은 구도. 사람만 다르다</x:v>
      </x:c>
      <x:c r="M129" s="16" t="str"/>
      <x:c r="N129" s="16" t="str"/>
      <x:c r="O129" s="16" t="str">
        <x:v>430px · 여백 좁</x:v>
      </x:c>
      <x:c r="P129" s="16" t="str">
        <x:v>The same wide composition. Only the person is different.</x:v>
      </x:c>
      <x:c r="Q129" s="16" t="str">
        <x:v>ROUTINE_SYSTEM</x:v>
      </x:c>
      <x:c r="R129" s="16" t="str"/>
      <x:c r="S129" s="16" t="str">
        <x:v>개인의 사건이 반복 가능한 제도로 작동함을 보여줌</x:v>
      </x:c>
      <x:c r="T129" s="16" t="str">
        <x:v>후속 정보가 생기면 행동·배경의 의미를 재검토</x:v>
      </x:c>
      <x:c r="U129" s="16" t="str">
        <x:v>선택 / 대가 / 침묵</x:v>
      </x:c>
      <x:c r="V129" s="16" t="str">
        <x:v>반복 NPC 검사와 제도적 루프</x:v>
      </x:c>
      <x:c r="W129" s="16"/>
      <x:c r="X129" s="22" t="str">
        <x:v>NONE</x:v>
      </x:c>
      <x:c r="Y129" s="16" t="str">
        <x:v>GLOBAL-VIS-01</x:v>
      </x:c>
      <x:c r="Z129" s="22" t="str">
        <x:v>SOURCE</x:v>
      </x:c>
      <x:c r="AA129" s="22"/>
      <x:c r="AB129" s="16"/>
      <x:c r="AC129" s="16" t="str">
        <x:v>EP01_대본_전량_001-282(2).md</x:v>
      </x:c>
      <x:c r="AD129" s="22" t="n">
        <x:v>1634</x:v>
      </x:c>
      <x:c r="AE129" s="139" t="str">
        <x:v>NOT_APPLICABLE</x:v>
      </x:c>
      <x:c r="AF129" s="139" t="str">
        <x:v>NONE</x:v>
      </x:c>
    </x:row>
    <x:row r="130" ht="72" customHeight="1">
      <x:c r="A130" s="24" t="str">
        <x:v>129</x:v>
      </x:c>
      <x:c r="B130" s="26" t="str">
        <x:v>B129-129</x:v>
      </x:c>
      <x:c r="C130" s="22" t="n">
        <x:v>1</x:v>
      </x:c>
      <x:c r="D130" s="22" t="str">
        <x:v>1/1</x:v>
      </x:c>
      <x:c r="E130" s="26" t="str">
        <x:v>EP01-S07</x:v>
      </x:c>
      <x:c r="F130" s="20" t="str">
        <x:v>7절 대장</x:v>
      </x:c>
      <x:c r="G130" s="20" t="str">
        <x:v>인서트</x:v>
      </x:c>
      <x:c r="H130" s="22" t="str"/>
      <x:c r="I130" s="24" t="str">
        <x:v>05-1-3</x:v>
      </x:c>
      <x:c r="J130" s="20" t="str">
        <x:v>발판·스캔</x:v>
      </x:c>
      <x:c r="K130" s="16" t="str">
        <x:v>스캔 빔</x:v>
      </x:c>
      <x:c r="L130" s="16" t="str">
        <x:v>스캔 빔</x:v>
      </x:c>
      <x:c r="M130" s="16" t="str"/>
      <x:c r="N130" s="16" t="str">
        <x:v>위이이잉—</x:v>
      </x:c>
      <x:c r="O130" s="16" t="str">
        <x:v>380px · 여백 좁</x:v>
      </x:c>
      <x:c r="P130" s="16" t="str">
        <x:v>A scanning beam sweeping upward.</x:v>
      </x:c>
      <x:c r="Q130" s="16" t="str">
        <x:v>ROUTINE_SYSTEM</x:v>
      </x:c>
      <x:c r="R130" s="16" t="str"/>
      <x:c r="S130" s="16" t="str">
        <x:v>개인의 사건이 반복 가능한 제도로 작동함을 보여줌</x:v>
      </x:c>
      <x:c r="T130" s="16" t="str">
        <x:v>후속 정보가 생기면 행동·배경의 의미를 재검토</x:v>
      </x:c>
      <x:c r="U130" s="16" t="str">
        <x:v>등급 / 성숙 / 결정권</x:v>
      </x:c>
      <x:c r="V130" s="16" t="str">
        <x:v>반복 NPC 검사와 제도적 루프</x:v>
      </x:c>
      <x:c r="W130" s="16"/>
      <x:c r="X130" s="22" t="str">
        <x:v>NONE</x:v>
      </x:c>
      <x:c r="Y130" s="16" t="str">
        <x:v>GLOBAL-VIS-01</x:v>
      </x:c>
      <x:c r="Z130" s="22" t="str">
        <x:v>SOURCE</x:v>
      </x:c>
      <x:c r="AA130" s="22"/>
      <x:c r="AB130" s="16"/>
      <x:c r="AC130" s="16" t="str">
        <x:v>EP01_대본_전량_001-282(2).md</x:v>
      </x:c>
      <x:c r="AD130" s="22" t="n">
        <x:v>1646</x:v>
      </x:c>
      <x:c r="AE130" s="139" t="str">
        <x:v>NOT_APPLICABLE</x:v>
      </x:c>
      <x:c r="AF130" s="139" t="str">
        <x:v>NONE</x:v>
      </x:c>
    </x:row>
    <x:row r="131" ht="72" customHeight="1">
      <x:c r="A131" s="24" t="str">
        <x:v>130</x:v>
      </x:c>
      <x:c r="B131" s="26" t="str">
        <x:v>B130-130</x:v>
      </x:c>
      <x:c r="C131" s="22" t="n">
        <x:v>1</x:v>
      </x:c>
      <x:c r="D131" s="22" t="str">
        <x:v>1/1</x:v>
      </x:c>
      <x:c r="E131" s="26" t="str">
        <x:v>EP01-S07</x:v>
      </x:c>
      <x:c r="F131" s="20" t="str">
        <x:v>7절 대장</x:v>
      </x:c>
      <x:c r="G131" s="20" t="str">
        <x:v>인서트</x:v>
      </x:c>
      <x:c r="H131" s="22" t="str"/>
      <x:c r="I131" s="24" t="str">
        <x:v>05-1-4</x:v>
      </x:c>
      <x:c r="J131" s="20" t="str">
        <x:v>평가소 근접판</x:v>
      </x:c>
      <x:c r="K131" s="16" t="str">
        <x:v>인식표 — C</x:v>
      </x:c>
      <x:c r="L131" s="16" t="str">
        <x:v>인식표 — C</x:v>
      </x:c>
      <x:c r="M131" s="16" t="str"/>
      <x:c r="N131" s="16" t="str">
        <x:v>치익—</x:v>
      </x:c>
      <x:c r="O131" s="16" t="str">
        <x:v>360px · 여백 좁</x:v>
      </x:c>
      <x:c r="P131" s="16" t="str">
        <x:v>A letter C pressed into a tag.</x:v>
      </x:c>
      <x:c r="Q131" s="16" t="str">
        <x:v>ROUTINE_SYSTEM</x:v>
      </x:c>
      <x:c r="R131" s="16" t="str"/>
      <x:c r="S131" s="16" t="str">
        <x:v>개인의 사건이 반복 가능한 제도로 작동함을 보여줌</x:v>
      </x:c>
      <x:c r="T131" s="16" t="str">
        <x:v>후속 정보가 생기면 행동·배경의 의미를 재검토</x:v>
      </x:c>
      <x:c r="U131" s="16" t="str">
        <x:v>등급 / 성숙 / 결정권</x:v>
      </x:c>
      <x:c r="V131" s="16" t="str">
        <x:v>반복 NPC 검사와 제도적 루프</x:v>
      </x:c>
      <x:c r="W131" s="16"/>
      <x:c r="X131" s="22" t="str">
        <x:v>NONE</x:v>
      </x:c>
      <x:c r="Y131" s="16" t="str">
        <x:v>GLOBAL-VIS-01</x:v>
      </x:c>
      <x:c r="Z131" s="22" t="str">
        <x:v>SOURCE</x:v>
      </x:c>
      <x:c r="AA131" s="22"/>
      <x:c r="AB131" s="16"/>
      <x:c r="AC131" s="16" t="str">
        <x:v>EP01_대본_전량_001-282(2).md</x:v>
      </x:c>
      <x:c r="AD131" s="22" t="n">
        <x:v>1659</x:v>
      </x:c>
      <x:c r="AE131" s="139" t="str">
        <x:v>NOT_APPLICABLE</x:v>
      </x:c>
      <x:c r="AF131" s="139" t="str">
        <x:v>NONE</x:v>
      </x:c>
    </x:row>
    <x:row r="132" ht="72" customHeight="1">
      <x:c r="A132" s="24" t="str">
        <x:v>131</x:v>
      </x:c>
      <x:c r="B132" s="26" t="str">
        <x:v>B131-131</x:v>
      </x:c>
      <x:c r="C132" s="22" t="n">
        <x:v>1</x:v>
      </x:c>
      <x:c r="D132" s="22" t="str">
        <x:v>1/1</x:v>
      </x:c>
      <x:c r="E132" s="26" t="str">
        <x:v>EP01-S07</x:v>
      </x:c>
      <x:c r="F132" s="20" t="str">
        <x:v>7절 대장</x:v>
      </x:c>
      <x:c r="G132" s="20" t="str">
        <x:v>인서트</x:v>
      </x:c>
      <x:c r="H132" s="22" t="str"/>
      <x:c r="I132" s="24" t="str">
        <x:v>05-1-1</x:v>
      </x:c>
      <x:c r="J132" s="20" t="str">
        <x:v>유진 데스크</x:v>
      </x:c>
      <x:c r="K132" s="16" t="str">
        <x:v>서랍이 열린다</x:v>
      </x:c>
      <x:c r="L132" s="16" t="str">
        <x:v>서랍이 열린다</x:v>
      </x:c>
      <x:c r="M132" s="16" t="str"/>
      <x:c r="N132" s="16" t="str">
        <x:v>드르륵</x:v>
      </x:c>
      <x:c r="O132" s="16" t="str">
        <x:v>360px · 여백 좁</x:v>
      </x:c>
      <x:c r="P132" s="16" t="str">
        <x:v>A drawer sliding open.</x:v>
      </x:c>
      <x:c r="Q132" s="16" t="str">
        <x:v>ROUTINE_SYSTEM</x:v>
      </x:c>
      <x:c r="R132" s="16" t="str"/>
      <x:c r="S132" s="16" t="str">
        <x:v>개인의 사건이 반복 가능한 제도로 작동함을 보여줌</x:v>
      </x:c>
      <x:c r="T132" s="16" t="str">
        <x:v>후속 정보가 생기면 행동·배경의 의미를 재검토</x:v>
      </x:c>
      <x:c r="U132" s="16" t="str">
        <x:v>선택 / 대가 / 침묵</x:v>
      </x:c>
      <x:c r="V132" s="16" t="str">
        <x:v>반복 NPC 검사와 제도적 루프</x:v>
      </x:c>
      <x:c r="W132" s="16" t="str">
        <x:v>반복되는 수기 기록과 빈칸이 후반의 이름 장부를 다시 읽게 하지만, 모든 이름의 운명은 확정하지 않음</x:v>
      </x:c>
      <x:c r="X132" s="22" t="str">
        <x:v>REFRAME</x:v>
      </x:c>
      <x:c r="Y132" s="16" t="str">
        <x:v>GLOBAL-VIS-01</x:v>
      </x:c>
      <x:c r="Z132" s="22" t="str">
        <x:v>SOURCE</x:v>
      </x:c>
      <x:c r="AA132" s="22"/>
      <x:c r="AB132" s="16"/>
      <x:c r="AC132" s="16" t="str">
        <x:v>EP01_대본_전량_001-282(2).md</x:v>
      </x:c>
      <x:c r="AD132" s="22" t="n">
        <x:v>1672</x:v>
      </x:c>
      <x:c r="AE132" s="139" t="str">
        <x:v>INDETERMINATE</x:v>
      </x:c>
      <x:c r="AF132" s="139" t="str">
        <x:v>REFRAME_PROMISE</x:v>
      </x:c>
    </x:row>
    <x:row r="133" ht="72" customHeight="1">
      <x:c r="A133" s="24" t="str">
        <x:v>132</x:v>
      </x:c>
      <x:c r="B133" s="26" t="str">
        <x:v>B132-132</x:v>
      </x:c>
      <x:c r="C133" s="22" t="n">
        <x:v>1</x:v>
      </x:c>
      <x:c r="D133" s="22" t="str">
        <x:v>1/1</x:v>
      </x:c>
      <x:c r="E133" s="26" t="str">
        <x:v>EP01-S07</x:v>
      </x:c>
      <x:c r="F133" s="20" t="str">
        <x:v>7절 대장</x:v>
      </x:c>
      <x:c r="G133" s="20" t="str">
        <x:v>ECU</x:v>
      </x:c>
      <x:c r="H133" s="22" t="str"/>
      <x:c r="I133" s="24" t="str">
        <x:v>05-1-4</x:v>
      </x:c>
      <x:c r="J133" s="20" t="str">
        <x:v>평가소 근접판</x:v>
      </x:c>
      <x:c r="K133" s="16" t="str">
        <x:v>노트. 펜. 한 줄이 늘어난다</x:v>
      </x:c>
      <x:c r="L133" s="16" t="str">
        <x:v>노트. 펜. 한 줄이 늘어난다</x:v>
      </x:c>
      <x:c r="M133" s="16" t="str"/>
      <x:c r="N133" s="16" t="str"/>
      <x:c r="O133" s="16" t="str">
        <x:v>380px · 여백 중</x:v>
      </x:c>
      <x:c r="P133" s="16" t="str">
        <x:v>A notebook gaining one more line.</x:v>
      </x:c>
      <x:c r="Q133" s="16" t="str">
        <x:v>ROUTINE_SYSTEM</x:v>
      </x:c>
      <x:c r="R133" s="16" t="str"/>
      <x:c r="S133" s="16" t="str">
        <x:v>개인의 사건이 반복 가능한 제도로 작동함을 보여줌</x:v>
      </x:c>
      <x:c r="T133" s="16" t="str">
        <x:v>후속 정보가 생기면 행동·배경의 의미를 재검토</x:v>
      </x:c>
      <x:c r="U133" s="16" t="str">
        <x:v>기록 / 이름 / 손실</x:v>
      </x:c>
      <x:c r="V133" s="16" t="str">
        <x:v>반복 NPC 검사와 제도적 루프</x:v>
      </x:c>
      <x:c r="W133" s="16" t="str">
        <x:v>반복되는 수기 기록과 빈칸이 후반의 이름 장부를 다시 읽게 하지만, 모든 이름의 운명은 확정하지 않음</x:v>
      </x:c>
      <x:c r="X133" s="22" t="str">
        <x:v>REFRAME</x:v>
      </x:c>
      <x:c r="Y133" s="16" t="str">
        <x:v>GLOBAL-VIS-01</x:v>
      </x:c>
      <x:c r="Z133" s="22" t="str">
        <x:v>SOURCE</x:v>
      </x:c>
      <x:c r="AA133" s="22"/>
      <x:c r="AB133" s="16"/>
      <x:c r="AC133" s="16" t="str">
        <x:v>EP01_대본_전량_001-282(2).md</x:v>
      </x:c>
      <x:c r="AD133" s="22" t="n">
        <x:v>1685</x:v>
      </x:c>
      <x:c r="AE133" s="139" t="str">
        <x:v>INDETERMINATE</x:v>
      </x:c>
      <x:c r="AF133" s="139" t="str">
        <x:v>REFRAME_PROMISE</x:v>
      </x:c>
    </x:row>
    <x:row r="134" ht="72" customHeight="1">
      <x:c r="A134" s="24" t="str">
        <x:v>133</x:v>
      </x:c>
      <x:c r="B134" s="26" t="str">
        <x:v>B133-133</x:v>
      </x:c>
      <x:c r="C134" s="22" t="n">
        <x:v>1</x:v>
      </x:c>
      <x:c r="D134" s="22" t="str">
        <x:v>1/1</x:v>
      </x:c>
      <x:c r="E134" s="26" t="str">
        <x:v>EP01-S07</x:v>
      </x:c>
      <x:c r="F134" s="20" t="str">
        <x:v>7절 대장</x:v>
      </x:c>
      <x:c r="G134" s="20" t="str">
        <x:v>부감</x:v>
      </x:c>
      <x:c r="H134" s="22" t="str">
        <x:v>⭐🤫🎭</x:v>
      </x:c>
      <x:c r="I134" s="24" t="str">
        <x:v>05-1-4</x:v>
      </x:c>
      <x:c r="J134" s="20" t="str">
        <x:v>평가소 근접판</x:v>
      </x:c>
      <x:c r="K134" s="16" t="str">
        <x:v>노트 페이지 전체. 이름이 빼곡하다</x:v>
      </x:c>
      <x:c r="L134" s="16" t="str">
        <x:v>노트 페이지 전체. 이름이 빼곡하다</x:v>
      </x:c>
      <x:c r="M134" s="16" t="str"/>
      <x:c r="N134" s="16" t="str"/>
      <x:c r="O134" s="16" t="str">
        <x:v>470px · 여백 극</x:v>
      </x:c>
      <x:c r="P134" s="16" t="str">
        <x:v>Top down of a full notebook page densely filled with handwritten names.</x:v>
      </x:c>
      <x:c r="Q134" s="16" t="str">
        <x:v>ROUTINE_SYSTEM</x:v>
      </x:c>
      <x:c r="R134" s="16" t="str">
        <x:v>SIGNATURE / SILENT_ACTING / HUMAN_BEAT</x:v>
      </x:c>
      <x:c r="S134" s="16" t="str">
        <x:v>개인의 사건이 반복 가능한 제도로 작동함을 보여줌</x:v>
      </x:c>
      <x:c r="T134" s="16" t="str">
        <x:v>침묵한 반응의 이유를 후발 정보로 다시 읽음 / 시그니처 상징의 기원</x:v>
      </x:c>
      <x:c r="U134" s="16" t="str">
        <x:v>기록 / 이름 / 손실</x:v>
      </x:c>
      <x:c r="V134" s="16" t="str">
        <x:v>반복 NPC 검사와 제도적 루프</x:v>
      </x:c>
      <x:c r="W134" s="16" t="str">
        <x:v>반복되는 수기 기록과 빈칸이 후반의 이름 장부를 다시 읽게 하지만, 모든 이름의 운명은 확정하지 않음</x:v>
      </x:c>
      <x:c r="X134" s="22" t="str">
        <x:v>REFRAME</x:v>
      </x:c>
      <x:c r="Y134" s="16" t="str">
        <x:v>대사 금지 또는 응답 없는 침묵 유지 / GLOBAL-VIS-01</x:v>
      </x:c>
      <x:c r="Z134" s="22" t="str">
        <x:v>SOURCE</x:v>
      </x:c>
      <x:c r="AA134" s="22"/>
      <x:c r="AB134" s="16"/>
      <x:c r="AC134" s="16" t="str">
        <x:v>EP01_대본_전량_001-282(2).md</x:v>
      </x:c>
      <x:c r="AD134" s="22" t="n">
        <x:v>1697</x:v>
      </x:c>
      <x:c r="AE134" s="139" t="str">
        <x:v>INDETERMINATE</x:v>
      </x:c>
      <x:c r="AF134" s="139" t="str">
        <x:v>REFRAME_PROMISE</x:v>
      </x:c>
    </x:row>
    <x:row r="135" ht="72" customHeight="1">
      <x:c r="A135" s="24" t="str">
        <x:v>134</x:v>
      </x:c>
      <x:c r="B135" s="26" t="str">
        <x:v>B134-134</x:v>
      </x:c>
      <x:c r="C135" s="22" t="n">
        <x:v>1</x:v>
      </x:c>
      <x:c r="D135" s="22" t="str">
        <x:v>1/1</x:v>
      </x:c>
      <x:c r="E135" s="26" t="str">
        <x:v>EP01-S07</x:v>
      </x:c>
      <x:c r="F135" s="20" t="str">
        <x:v>7절 대장</x:v>
      </x:c>
      <x:c r="G135" s="20" t="str">
        <x:v>ECU</x:v>
      </x:c>
      <x:c r="H135" s="22" t="str">
        <x:v>🤫</x:v>
      </x:c>
      <x:c r="I135" s="24" t="str">
        <x:v>05-1-4</x:v>
      </x:c>
      <x:c r="J135" s="20" t="str">
        <x:v>평가소 근접판</x:v>
      </x:c>
      <x:c r="K135" s="16" t="str">
        <x:v>페이지 하단 여백. 아직 비어 있다</x:v>
      </x:c>
      <x:c r="L135" s="16" t="str">
        <x:v>페이지 하단 여백. 아직 비어 있다</x:v>
      </x:c>
      <x:c r="M135" s="16" t="str"/>
      <x:c r="N135" s="16" t="str"/>
      <x:c r="O135" s="16" t="str">
        <x:v>380px · 여백 중</x:v>
      </x:c>
      <x:c r="P135" s="16" t="str">
        <x:v>Extreme close on the empty lower margin of a page.</x:v>
      </x:c>
      <x:c r="Q135" s="16" t="str">
        <x:v>ROUTINE_SYSTEM</x:v>
      </x:c>
      <x:c r="R135" s="16" t="str">
        <x:v>SILENT_ACTING</x:v>
      </x:c>
      <x:c r="S135" s="16" t="str">
        <x:v>개인의 사건이 반복 가능한 제도로 작동함을 보여줌</x:v>
      </x:c>
      <x:c r="T135" s="16" t="str">
        <x:v>침묵한 반응의 이유를 후발 정보로 다시 읽음</x:v>
      </x:c>
      <x:c r="U135" s="16" t="str">
        <x:v>선택 / 대가 / 침묵</x:v>
      </x:c>
      <x:c r="V135" s="16" t="str">
        <x:v>반복 NPC 검사와 제도적 루프</x:v>
      </x:c>
      <x:c r="W135" s="16" t="str">
        <x:v>반복되는 수기 기록과 빈칸이 후반의 이름 장부를 다시 읽게 하지만, 모든 이름의 운명은 확정하지 않음</x:v>
      </x:c>
      <x:c r="X135" s="22" t="str">
        <x:v>REFRAME</x:v>
      </x:c>
      <x:c r="Y135" s="16" t="str">
        <x:v>대사 금지 또는 응답 없는 침묵 유지 / GLOBAL-VIS-01</x:v>
      </x:c>
      <x:c r="Z135" s="22" t="str">
        <x:v>SOURCE</x:v>
      </x:c>
      <x:c r="AA135" s="22"/>
      <x:c r="AB135" s="16"/>
      <x:c r="AC135" s="16" t="str">
        <x:v>EP01_대본_전량_001-282(2).md</x:v>
      </x:c>
      <x:c r="AD135" s="22" t="n">
        <x:v>1709</x:v>
      </x:c>
      <x:c r="AE135" s="139" t="str">
        <x:v>INDETERMINATE</x:v>
      </x:c>
      <x:c r="AF135" s="139" t="str">
        <x:v>REFRAME_PROMISE</x:v>
      </x:c>
    </x:row>
    <x:row r="136" ht="72" customHeight="1">
      <x:c r="A136" s="24" t="str">
        <x:v>135</x:v>
      </x:c>
      <x:c r="B136" s="26" t="str">
        <x:v>B135-135</x:v>
      </x:c>
      <x:c r="C136" s="22" t="n">
        <x:v>1</x:v>
      </x:c>
      <x:c r="D136" s="22" t="str">
        <x:v>1/1</x:v>
      </x:c>
      <x:c r="E136" s="26" t="str">
        <x:v>EP01-S07</x:v>
      </x:c>
      <x:c r="F136" s="20" t="str">
        <x:v>7절 대장</x:v>
      </x:c>
      <x:c r="G136" s="20" t="str">
        <x:v>MS 유진</x:v>
      </x:c>
      <x:c r="H136" s="22" t="str"/>
      <x:c r="I136" s="24" t="str">
        <x:v>05-1-1</x:v>
      </x:c>
      <x:c r="J136" s="20" t="str">
        <x:v>유진 데스크</x:v>
      </x:c>
      <x:c r="K136" s="16" t="str">
        <x:v>노트를 덮는다</x:v>
      </x:c>
      <x:c r="L136" s="16" t="str">
        <x:v>노트를 덮는다</x:v>
      </x:c>
      <x:c r="M136" s="16" t="str"/>
      <x:c r="N136" s="16" t="str"/>
      <x:c r="O136" s="16" t="str">
        <x:v>400px · 여백 넓</x:v>
      </x:c>
      <x:c r="P136" s="16" t="str">
        <x:v>A woman closing the notebook.</x:v>
      </x:c>
      <x:c r="Q136" s="16" t="str">
        <x:v>ROUTINE_SYSTEM</x:v>
      </x:c>
      <x:c r="R136" s="16" t="str"/>
      <x:c r="S136" s="16" t="str">
        <x:v>개인의 사건이 반복 가능한 제도로 작동함을 보여줌</x:v>
      </x:c>
      <x:c r="T136" s="16" t="str">
        <x:v>후속 정보가 생기면 행동·배경의 의미를 재검토</x:v>
      </x:c>
      <x:c r="U136" s="16" t="str">
        <x:v>기록 / 이름 / 손실</x:v>
      </x:c>
      <x:c r="V136" s="16" t="str">
        <x:v>반복 NPC 검사와 제도적 루프</x:v>
      </x:c>
      <x:c r="W136" s="16" t="str">
        <x:v>반복되는 수기 기록과 빈칸이 후반의 이름 장부를 다시 읽게 하지만, 모든 이름의 운명은 확정하지 않음</x:v>
      </x:c>
      <x:c r="X136" s="22" t="str">
        <x:v>REFRAME</x:v>
      </x:c>
      <x:c r="Y136" s="16" t="str">
        <x:v>아인 왼쪽 견갑·오른쪽 건틀릿 좌우 고정 / GLOBAL-VIS-01</x:v>
      </x:c>
      <x:c r="Z136" s="22" t="str">
        <x:v>SOURCE</x:v>
      </x:c>
      <x:c r="AA136" s="22"/>
      <x:c r="AB136" s="16"/>
      <x:c r="AC136" s="16" t="str">
        <x:v>EP01_대본_전량_001-282(2).md</x:v>
      </x:c>
      <x:c r="AD136" s="22" t="n">
        <x:v>1721</x:v>
      </x:c>
      <x:c r="AE136" s="139" t="str">
        <x:v>INDETERMINATE</x:v>
      </x:c>
      <x:c r="AF136" s="139" t="str">
        <x:v>REFRAME_PROMISE</x:v>
      </x:c>
    </x:row>
    <x:row r="137" ht="72" customHeight="1">
      <x:c r="A137" s="24" t="str">
        <x:v>136</x:v>
      </x:c>
      <x:c r="B137" s="26" t="str">
        <x:v>B136-136</x:v>
      </x:c>
      <x:c r="C137" s="22" t="n">
        <x:v>1</x:v>
      </x:c>
      <x:c r="D137" s="22" t="str">
        <x:v>1/1</x:v>
      </x:c>
      <x:c r="E137" s="26" t="str">
        <x:v>EP01-S07</x:v>
      </x:c>
      <x:c r="F137" s="20" t="str">
        <x:v>7절 대장</x:v>
      </x:c>
      <x:c r="G137" s="20" t="str">
        <x:v>EWIDE 극세로</x:v>
      </x:c>
      <x:c r="H137" s="22" t="str">
        <x:v>🎣</x:v>
      </x:c>
      <x:c r="I137" s="24" t="str">
        <x:v>05-1</x:v>
      </x:c>
      <x:c r="J137" s="20" t="str">
        <x:v>평가소</x:v>
      </x:c>
      <x:c r="K137" s="16" t="str">
        <x:v>평가소 전경. 측정기, 번호판 벽, 서랍</x:v>
      </x:c>
      <x:c r="L137" s="16" t="str">
        <x:v>평가소 전경. 측정기, 번호판 벽, 서랍</x:v>
      </x:c>
      <x:c r="M137" s="16" t="str">
        <x:v>나레이션: 아무도 몰랐다. / 그 등급이 대체 무엇을 세고 있는 숫자인지.</x:v>
      </x:c>
      <x:c r="N137" s="16" t="str"/>
      <x:c r="O137" s="16" t="str">
        <x:v>1,500px · 여백 극</x:v>
      </x:c>
      <x:c r="P137" s="16" t="str">
        <x:v>Vertical wide view of the whole evaluation office. Platform, number wall, drawer. Empty.</x:v>
      </x:c>
      <x:c r="Q137" s="16" t="str">
        <x:v>ROUTINE_SYSTEM</x:v>
      </x:c>
      <x:c r="R137" s="16" t="str">
        <x:v>FORESHADOW</x:v>
      </x:c>
      <x:c r="S137" s="16" t="str">
        <x:v>개인의 사건이 반복 가능한 제도로 작동함을 보여줌</x:v>
      </x:c>
      <x:c r="T137" s="16" t="str">
        <x:v>처음에는 배경·노이즈로 보인 정보의 의미가 바뀜</x:v>
      </x:c>
      <x:c r="U137" s="16" t="str">
        <x:v>선택 / 대가 / 침묵</x:v>
      </x:c>
      <x:c r="V137" s="16" t="str">
        <x:v>반복 NPC 검사와 제도적 루프</x:v>
      </x:c>
      <x:c r="W137" s="16" t="str">
        <x:v>제1부 핵심 서사 계약 — 등급이 무엇을 세는 숫자인지 본편에서 의미가 확정되어야 함</x:v>
      </x:c>
      <x:c r="X137" s="22" t="str">
        <x:v>PAYOFF</x:v>
      </x:c>
      <x:c r="Y137" s="16" t="str">
        <x:v>복선 강조 금지 / GLOBAL-VIS-01</x:v>
      </x:c>
      <x:c r="Z137" s="22" t="str">
        <x:v>SOURCE</x:v>
      </x:c>
      <x:c r="AA137" s="22"/>
      <x:c r="AB137" s="16"/>
      <x:c r="AC137" s="16" t="str">
        <x:v>EP01_대본_전량_001-282(2).md</x:v>
      </x:c>
      <x:c r="AD137" s="22" t="n">
        <x:v>1733</x:v>
      </x:c>
      <x:c r="AE137" s="139" t="str">
        <x:v>PUBLIC_CANON</x:v>
      </x:c>
      <x:c r="AF137" s="139" t="str">
        <x:v>CONTRACT</x:v>
      </x:c>
    </x:row>
    <x:row r="138" ht="72" customHeight="1">
      <x:c r="A138" s="24" t="str">
        <x:v>137</x:v>
      </x:c>
      <x:c r="B138" s="26" t="str">
        <x:v>B137-137</x:v>
      </x:c>
      <x:c r="C138" s="22" t="n">
        <x:v>1</x:v>
      </x:c>
      <x:c r="D138" s="22" t="str">
        <x:v>1/1</x:v>
      </x:c>
      <x:c r="E138" s="26" t="str">
        <x:v>EP01-S08</x:v>
      </x:c>
      <x:c r="F138" s="20" t="str">
        <x:v>8절 인력사무소</x:v>
      </x:c>
      <x:c r="G138" s="20" t="str">
        <x:v>MS</x:v>
      </x:c>
      <x:c r="H138" s="22" t="str"/>
      <x:c r="I138" s="24" t="str">
        <x:v>06-1</x:v>
      </x:c>
      <x:c r="J138" s="20" t="str">
        <x:v>사무소</x:v>
      </x:c>
      <x:c r="K138" s="16" t="str">
        <x:v>지하 인력사무소. 서류더미, 낡은 CRT 모니터</x:v>
      </x:c>
      <x:c r="L138" s="16" t="str">
        <x:v>지하 인력사무소. 서류더미, 낡은 CRT 모니터</x:v>
      </x:c>
      <x:c r="M138" s="16" t="str"/>
      <x:c r="N138" s="16" t="str"/>
      <x:c r="O138" s="16" t="str">
        <x:v>430px · 여백 좁</x:v>
      </x:c>
      <x:c r="P138" s="16" t="str">
        <x:v>A cramped underground office. Paper stacks, an old CRT monitor.</x:v>
      </x:c>
      <x:c r="Q138" s="16" t="str">
        <x:v>HUB_QUEST</x:v>
      </x:c>
      <x:c r="R138" s="16" t="str"/>
      <x:c r="S138" s="16" t="str">
        <x:v>의뢰·보수·마태오의 허브 기능을 소개</x:v>
      </x:c>
      <x:c r="T138" s="16" t="str">
        <x:v>후속 정보가 생기면 행동·배경의 의미를 재검토</x:v>
      </x:c>
      <x:c r="U138" s="16" t="str">
        <x:v>기록 / 이름 / 손실</x:v>
      </x:c>
      <x:c r="V138" s="16" t="str">
        <x:v>미션 선택·보수·허브 의뢰실</x:v>
      </x:c>
      <x:c r="W138" s="16"/>
      <x:c r="X138" s="22" t="str">
        <x:v>NONE</x:v>
      </x:c>
      <x:c r="Y138" s="16" t="str">
        <x:v>GLOBAL-VIS-01</x:v>
      </x:c>
      <x:c r="Z138" s="22" t="str">
        <x:v>SOURCE</x:v>
      </x:c>
      <x:c r="AA138" s="22"/>
      <x:c r="AB138" s="16"/>
      <x:c r="AC138" s="16" t="str">
        <x:v>EP01_대본_전량_001-282(2).md</x:v>
      </x:c>
      <x:c r="AD138" s="22" t="n">
        <x:v>1752</x:v>
      </x:c>
      <x:c r="AE138" s="139" t="str">
        <x:v>NOT_APPLICABLE</x:v>
      </x:c>
      <x:c r="AF138" s="139" t="str">
        <x:v>NONE</x:v>
      </x:c>
    </x:row>
    <x:row r="139" ht="72" customHeight="1">
      <x:c r="A139" s="24" t="str">
        <x:v>138</x:v>
      </x:c>
      <x:c r="B139" s="26" t="str">
        <x:v>B138-138</x:v>
      </x:c>
      <x:c r="C139" s="22" t="n">
        <x:v>1</x:v>
      </x:c>
      <x:c r="D139" s="22" t="str">
        <x:v>1/1</x:v>
      </x:c>
      <x:c r="E139" s="26" t="str">
        <x:v>EP01-S08</x:v>
      </x:c>
      <x:c r="F139" s="20" t="str">
        <x:v>8절 인력사무소</x:v>
      </x:c>
      <x:c r="G139" s="20" t="str">
        <x:v>MS</x:v>
      </x:c>
      <x:c r="H139" s="22" t="str"/>
      <x:c r="I139" s="24" t="str">
        <x:v>06-1</x:v>
      </x:c>
      <x:c r="J139" s="20" t="str">
        <x:v>사무소</x:v>
      </x:c>
      <x:c r="K139" s="16" t="str">
        <x:v>마태오. 입에 담배. 불이 안 붙어 있다</x:v>
      </x:c>
      <x:c r="L139" s="16" t="str">
        <x:v>마태오. 입에 담배. 불이 안 붙어 있다</x:v>
      </x:c>
      <x:c r="M139" s="16" t="str"/>
      <x:c r="N139" s="16" t="str"/>
      <x:c r="O139" s="16" t="str">
        <x:v>430px · 여백 중</x:v>
      </x:c>
      <x:c r="P139" s="16" t="str">
        <x:v>A weathered older man at a desk, an unlit cigarette in his mouth.</x:v>
      </x:c>
      <x:c r="Q139" s="16" t="str">
        <x:v>HUB_QUEST</x:v>
      </x:c>
      <x:c r="R139" s="16" t="str"/>
      <x:c r="S139" s="16" t="str">
        <x:v>의뢰·보수·마태오의 허브 기능을 소개</x:v>
      </x:c>
      <x:c r="T139" s="16" t="str">
        <x:v>후속 정보가 생기면 행동·배경의 의미를 재검토</x:v>
      </x:c>
      <x:c r="U139" s="16" t="str">
        <x:v>선택 / 대가 / 침묵</x:v>
      </x:c>
      <x:c r="V139" s="16" t="str">
        <x:v>미션 선택·보수·허브 의뢰실</x:v>
      </x:c>
      <x:c r="W139" s="16"/>
      <x:c r="X139" s="22" t="str">
        <x:v>NONE</x:v>
      </x:c>
      <x:c r="Y139" s="16" t="str">
        <x:v>GLOBAL-VIS-01</x:v>
      </x:c>
      <x:c r="Z139" s="22" t="str">
        <x:v>SOURCE</x:v>
      </x:c>
      <x:c r="AA139" s="22"/>
      <x:c r="AB139" s="16"/>
      <x:c r="AC139" s="16" t="str">
        <x:v>EP01_대본_전량_001-282(2).md</x:v>
      </x:c>
      <x:c r="AD139" s="22" t="n">
        <x:v>1764</x:v>
      </x:c>
      <x:c r="AE139" s="139" t="str">
        <x:v>NOT_APPLICABLE</x:v>
      </x:c>
      <x:c r="AF139" s="139" t="str">
        <x:v>NONE</x:v>
      </x:c>
    </x:row>
    <x:row r="140" ht="72" customHeight="1">
      <x:c r="A140" s="24" t="str">
        <x:v>139</x:v>
      </x:c>
      <x:c r="B140" s="26" t="str">
        <x:v>B139-139</x:v>
      </x:c>
      <x:c r="C140" s="22" t="n">
        <x:v>1</x:v>
      </x:c>
      <x:c r="D140" s="22" t="str">
        <x:v>1/1</x:v>
      </x:c>
      <x:c r="E140" s="26" t="str">
        <x:v>EP01-S08</x:v>
      </x:c>
      <x:c r="F140" s="20" t="str">
        <x:v>8절 인력사무소</x:v>
      </x:c>
      <x:c r="G140" s="20" t="str">
        <x:v>ECU</x:v>
      </x:c>
      <x:c r="H140" s="22" t="str"/>
      <x:c r="I140" s="24" t="str">
        <x:v>06-1-3</x:v>
      </x:c>
      <x:c r="J140" s="20" t="str">
        <x:v>사무소 근접판</x:v>
      </x:c>
      <x:c r="K140" s="16" t="str">
        <x:v>담배 끝. 타지 않았다</x:v>
      </x:c>
      <x:c r="L140" s="16" t="str">
        <x:v>담배 끝. 타지 않았다</x:v>
      </x:c>
      <x:c r="M140" s="16" t="str"/>
      <x:c r="N140" s="16" t="str"/>
      <x:c r="O140" s="16" t="str">
        <x:v>360px · 여백 좁</x:v>
      </x:c>
      <x:c r="P140" s="16" t="str">
        <x:v>Extreme close on a cigarette tip. Not burning.</x:v>
      </x:c>
      <x:c r="Q140" s="16" t="str">
        <x:v>HUB_QUEST</x:v>
      </x:c>
      <x:c r="R140" s="16" t="str"/>
      <x:c r="S140" s="16" t="str">
        <x:v>의뢰·보수·마태오의 허브 기능을 소개</x:v>
      </x:c>
      <x:c r="T140" s="16" t="str">
        <x:v>후속 정보가 생기면 행동·배경의 의미를 재검토</x:v>
      </x:c>
      <x:c r="U140" s="16" t="str">
        <x:v>선택 / 대가 / 침묵</x:v>
      </x:c>
      <x:c r="V140" s="16" t="str">
        <x:v>미션 선택·보수·허브 의뢰실</x:v>
      </x:c>
      <x:c r="W140" s="16"/>
      <x:c r="X140" s="22" t="str">
        <x:v>NONE</x:v>
      </x:c>
      <x:c r="Y140" s="16" t="str">
        <x:v>GLOBAL-VIS-01</x:v>
      </x:c>
      <x:c r="Z140" s="22" t="str">
        <x:v>SOURCE</x:v>
      </x:c>
      <x:c r="AA140" s="22"/>
      <x:c r="AB140" s="16"/>
      <x:c r="AC140" s="16" t="str">
        <x:v>EP01_대본_전량_001-282(2).md</x:v>
      </x:c>
      <x:c r="AD140" s="22" t="n">
        <x:v>1776</x:v>
      </x:c>
      <x:c r="AE140" s="139" t="str">
        <x:v>NOT_APPLICABLE</x:v>
      </x:c>
      <x:c r="AF140" s="139" t="str">
        <x:v>NONE</x:v>
      </x:c>
    </x:row>
    <x:row r="141" ht="72" customHeight="1">
      <x:c r="A141" s="24" t="str">
        <x:v>140</x:v>
      </x:c>
      <x:c r="B141" s="26" t="str">
        <x:v>B140-140</x:v>
      </x:c>
      <x:c r="C141" s="22" t="n">
        <x:v>1</x:v>
      </x:c>
      <x:c r="D141" s="22" t="str">
        <x:v>1/1</x:v>
      </x:c>
      <x:c r="E141" s="26" t="str">
        <x:v>EP01-S08</x:v>
      </x:c>
      <x:c r="F141" s="20" t="str">
        <x:v>8절 인력사무소</x:v>
      </x:c>
      <x:c r="G141" s="20" t="str">
        <x:v>MS</x:v>
      </x:c>
      <x:c r="H141" s="22" t="str">
        <x:v>🤫</x:v>
      </x:c>
      <x:c r="I141" s="24" t="str">
        <x:v>06-1</x:v>
      </x:c>
      <x:c r="J141" s="20" t="str">
        <x:v>사무소</x:v>
      </x:c>
      <x:c r="K141" s="16" t="str">
        <x:v>마태오가 CRT를 등지고 앉아 있다. 화면을 보지 않는다</x:v>
      </x:c>
      <x:c r="L141" s="16" t="str">
        <x:v>마태오가 CRT를 등지고 앉아 있다. 화면을 보지 않는다</x:v>
      </x:c>
      <x:c r="M141" s="16" t="str"/>
      <x:c r="N141" s="16" t="str"/>
      <x:c r="O141" s="16" t="str">
        <x:v>430px · 여백 중</x:v>
      </x:c>
      <x:c r="P141" s="16" t="str">
        <x:v>A man seated with his back to a CRT monitor. He never looks at it.</x:v>
      </x:c>
      <x:c r="Q141" s="16" t="str">
        <x:v>HUB_QUEST</x:v>
      </x:c>
      <x:c r="R141" s="16" t="str">
        <x:v>SILENT_ACTING</x:v>
      </x:c>
      <x:c r="S141" s="16" t="str">
        <x:v>의뢰·보수·마태오의 허브 기능을 소개</x:v>
      </x:c>
      <x:c r="T141" s="16" t="str">
        <x:v>침묵한 반응의 이유를 후발 정보로 다시 읽음 / 외전에서만 의미가 완성되는 마태오의 모니터</x:v>
      </x:c>
      <x:c r="U141" s="16" t="str">
        <x:v>선택 / 대가 / 침묵</x:v>
      </x:c>
      <x:c r="V141" s="16" t="str">
        <x:v>미션 선택·보수·허브 의뢰실</x:v>
      </x:c>
      <x:c r="W141" s="16" t="str">
        <x:v>EXPANSION: 마태오 모니터 외전</x:v>
      </x:c>
      <x:c r="X141" s="22" t="str">
        <x:v>EXPANSION</x:v>
      </x:c>
      <x:c r="Y141" s="16" t="str">
        <x:v>대사 금지 또는 응답 없는 침묵 유지 / 마태오는 CRT를 보지 않음 / 영상 인물 얼굴 선명 금지 / GLOBAL-VIS-01</x:v>
      </x:c>
      <x:c r="Z141" s="22" t="str">
        <x:v>SOURCE</x:v>
      </x:c>
      <x:c r="AA141" s="22"/>
      <x:c r="AB141" s="16"/>
      <x:c r="AC141" s="16" t="str">
        <x:v>EP01_대본_전량_001-282(2).md</x:v>
      </x:c>
      <x:c r="AD141" s="22" t="n">
        <x:v>1788</x:v>
      </x:c>
      <x:c r="AE141" s="139" t="str">
        <x:v>PRIVATE_TRUTH</x:v>
      </x:c>
      <x:c r="AF141" s="139" t="str">
        <x:v>OPTIONAL_EXTENSION</x:v>
      </x:c>
    </x:row>
    <x:row r="142" ht="72" customHeight="1">
      <x:c r="A142" s="24" t="str">
        <x:v>141</x:v>
      </x:c>
      <x:c r="B142" s="26" t="str">
        <x:v>B141-141</x:v>
      </x:c>
      <x:c r="C142" s="22" t="n">
        <x:v>1</x:v>
      </x:c>
      <x:c r="D142" s="22" t="str">
        <x:v>1/1</x:v>
      </x:c>
      <x:c r="E142" s="26" t="str">
        <x:v>EP01-S08</x:v>
      </x:c>
      <x:c r="F142" s="20" t="str">
        <x:v>8절 인력사무소</x:v>
      </x:c>
      <x:c r="G142" s="20" t="str">
        <x:v>CU</x:v>
      </x:c>
      <x:c r="H142" s="22" t="str">
        <x:v>🤫</x:v>
      </x:c>
      <x:c r="I142" s="24" t="str">
        <x:v>06-1</x:v>
      </x:c>
      <x:c r="J142" s="20" t="str">
        <x:v>사무소</x:v>
      </x:c>
      <x:c r="K142" s="16" t="str">
        <x:v>화면에는 영상이 돌고 있다. 아무도 안 본다</x:v>
      </x:c>
      <x:c r="L142" s="16" t="str">
        <x:v>화면에는 영상이 돌고 있다. 아무도 안 본다</x:v>
      </x:c>
      <x:c r="M142" s="16" t="str"/>
      <x:c r="N142" s="16" t="str"/>
      <x:c r="O142" s="16" t="str">
        <x:v>380px · 여백 좁</x:v>
      </x:c>
      <x:c r="P142" s="16" t="str">
        <x:v>A CRT screen playing something. Nobody is watching.</x:v>
      </x:c>
      <x:c r="Q142" s="16" t="str">
        <x:v>HUB_QUEST</x:v>
      </x:c>
      <x:c r="R142" s="16" t="str">
        <x:v>SILENT_ACTING</x:v>
      </x:c>
      <x:c r="S142" s="16" t="str">
        <x:v>의뢰·보수·마태오의 허브 기능을 소개</x:v>
      </x:c>
      <x:c r="T142" s="16" t="str">
        <x:v>침묵한 반응의 이유를 후발 정보로 다시 읽음 / 외전에서만 의미가 완성되는 마태오의 모니터</x:v>
      </x:c>
      <x:c r="U142" s="16" t="str">
        <x:v>선택 / 대가 / 침묵</x:v>
      </x:c>
      <x:c r="V142" s="16" t="str">
        <x:v>미션 선택·보수·허브 의뢰실</x:v>
      </x:c>
      <x:c r="W142" s="16" t="str">
        <x:v>EXPANSION: 마태오 모니터 외전</x:v>
      </x:c>
      <x:c r="X142" s="22" t="str">
        <x:v>EXPANSION</x:v>
      </x:c>
      <x:c r="Y142" s="16" t="str">
        <x:v>대사 금지 또는 응답 없는 침묵 유지 / 마태오는 CRT를 보지 않음 / 영상 인물 얼굴 선명 금지 / GLOBAL-VIS-01</x:v>
      </x:c>
      <x:c r="Z142" s="22" t="str">
        <x:v>SOURCE</x:v>
      </x:c>
      <x:c r="AA142" s="22"/>
      <x:c r="AB142" s="16"/>
      <x:c r="AC142" s="16" t="str">
        <x:v>EP01_대본_전량_001-282(2).md</x:v>
      </x:c>
      <x:c r="AD142" s="22" t="n">
        <x:v>1800</x:v>
      </x:c>
      <x:c r="AE142" s="139" t="str">
        <x:v>PRIVATE_TRUTH</x:v>
      </x:c>
      <x:c r="AF142" s="139" t="str">
        <x:v>OPTIONAL_EXTENSION</x:v>
      </x:c>
    </x:row>
    <x:row r="143" ht="72" customHeight="1">
      <x:c r="A143" s="24" t="str">
        <x:v>142</x:v>
      </x:c>
      <x:c r="B143" s="26" t="str">
        <x:v>B142-142</x:v>
      </x:c>
      <x:c r="C143" s="22" t="n">
        <x:v>1</x:v>
      </x:c>
      <x:c r="D143" s="22" t="str">
        <x:v>1/1</x:v>
      </x:c>
      <x:c r="E143" s="26" t="str">
        <x:v>EP01-S08</x:v>
      </x:c>
      <x:c r="F143" s="20" t="str">
        <x:v>8절 인력사무소</x:v>
      </x:c>
      <x:c r="G143" s="20" t="str">
        <x:v>MS</x:v>
      </x:c>
      <x:c r="H143" s="22" t="str"/>
      <x:c r="I143" s="24" t="str">
        <x:v>06-1</x:v>
      </x:c>
      <x:c r="J143" s="20" t="str">
        <x:v>사무소</x:v>
      </x:c>
      <x:c r="K143" s="16" t="str">
        <x:v>두 사람이 들어온다. 카인이 반보 뒤</x:v>
      </x:c>
      <x:c r="L143" s="16" t="str">
        <x:v>두 사람이 들어온다. 카인이 반보 뒤</x:v>
      </x:c>
      <x:c r="M143" s="16" t="str"/>
      <x:c r="N143" s="16" t="str"/>
      <x:c r="O143" s="16" t="str">
        <x:v>470px · 여백 좁</x:v>
      </x:c>
      <x:c r="P143" s="16" t="str">
        <x:v>Two people entering an office. The larger one stands half a step behind.</x:v>
      </x:c>
      <x:c r="Q143" s="16" t="str">
        <x:v>HUB_QUEST</x:v>
      </x:c>
      <x:c r="R143" s="16" t="str"/>
      <x:c r="S143" s="16" t="str">
        <x:v>의뢰·보수·마태오의 허브 기능을 소개</x:v>
      </x:c>
      <x:c r="T143" s="16" t="str">
        <x:v>후속 정보가 생기면 행동·배경의 의미를 재검토</x:v>
      </x:c>
      <x:c r="U143" s="16" t="str">
        <x:v>거리 / 보호 / 선택</x:v>
      </x:c>
      <x:c r="V143" s="16" t="str">
        <x:v>미션 선택·보수·허브 의뢰실</x:v>
      </x:c>
      <x:c r="W143" s="16"/>
      <x:c r="X143" s="22" t="str">
        <x:v>NONE</x:v>
      </x:c>
      <x:c r="Y143" s="16" t="str">
        <x:v>GLOBAL-VIS-01</x:v>
      </x:c>
      <x:c r="Z143" s="22" t="str">
        <x:v>SOURCE</x:v>
      </x:c>
      <x:c r="AA143" s="22"/>
      <x:c r="AB143" s="16"/>
      <x:c r="AC143" s="16" t="str">
        <x:v>EP01_대본_전량_001-282(2).md</x:v>
      </x:c>
      <x:c r="AD143" s="22" t="n">
        <x:v>1812</x:v>
      </x:c>
      <x:c r="AE143" s="139" t="str">
        <x:v>NOT_APPLICABLE</x:v>
      </x:c>
      <x:c r="AF143" s="139" t="str">
        <x:v>NONE</x:v>
      </x:c>
    </x:row>
    <x:row r="144" ht="72" customHeight="1">
      <x:c r="A144" s="24" t="str">
        <x:v>143</x:v>
      </x:c>
      <x:c r="B144" s="26" t="str">
        <x:v>B143-143</x:v>
      </x:c>
      <x:c r="C144" s="22" t="n">
        <x:v>1</x:v>
      </x:c>
      <x:c r="D144" s="22" t="str">
        <x:v>1/1</x:v>
      </x:c>
      <x:c r="E144" s="26" t="str">
        <x:v>EP01-S08</x:v>
      </x:c>
      <x:c r="F144" s="20" t="str">
        <x:v>8절 인력사무소</x:v>
      </x:c>
      <x:c r="G144" s="20" t="str">
        <x:v>CU 마태오</x:v>
      </x:c>
      <x:c r="H144" s="22" t="str"/>
      <x:c r="I144" s="24" t="str">
        <x:v>06-1-3</x:v>
      </x:c>
      <x:c r="J144" s="20" t="str">
        <x:v>사무소 근접판</x:v>
      </x:c>
      <x:c r="K144" s="16" t="str">
        <x:v>인식표를 흘끗 본다</x:v>
      </x:c>
      <x:c r="L144" s="16" t="str">
        <x:v>인식표를 흘끗 본다</x:v>
      </x:c>
      <x:c r="M144" s="16" t="str">
        <x:v>대사 · 마태오: 「…C 둘.」</x:v>
      </x:c>
      <x:c r="N144" s="16" t="str"/>
      <x:c r="O144" s="16" t="str">
        <x:v>400px · 여백 중</x:v>
      </x:c>
      <x:c r="P144" s="16" t="str">
        <x:v>An older man glancing at two metal tags.</x:v>
      </x:c>
      <x:c r="Q144" s="16" t="str">
        <x:v>HUB_QUEST</x:v>
      </x:c>
      <x:c r="R144" s="16" t="str"/>
      <x:c r="S144" s="16" t="str">
        <x:v>의뢰·보수·마태오의 허브 기능을 소개</x:v>
      </x:c>
      <x:c r="T144" s="16" t="str">
        <x:v>후속 정보가 생기면 행동·배경의 의미를 재검토</x:v>
      </x:c>
      <x:c r="U144" s="16" t="str">
        <x:v>등급 / 성숙 / 결정권</x:v>
      </x:c>
      <x:c r="V144" s="16" t="str">
        <x:v>미션 선택·보수·허브 의뢰실</x:v>
      </x:c>
      <x:c r="W144" s="16"/>
      <x:c r="X144" s="22" t="str">
        <x:v>NONE</x:v>
      </x:c>
      <x:c r="Y144" s="16" t="str">
        <x:v>GLOBAL-VIS-01</x:v>
      </x:c>
      <x:c r="Z144" s="22" t="str">
        <x:v>SOURCE</x:v>
      </x:c>
      <x:c r="AA144" s="22"/>
      <x:c r="AB144" s="16"/>
      <x:c r="AC144" s="16" t="str">
        <x:v>EP01_대본_전량_001-282(2).md</x:v>
      </x:c>
      <x:c r="AD144" s="22" t="n">
        <x:v>1824</x:v>
      </x:c>
      <x:c r="AE144" s="139" t="str">
        <x:v>NOT_APPLICABLE</x:v>
      </x:c>
      <x:c r="AF144" s="139" t="str">
        <x:v>NONE</x:v>
      </x:c>
    </x:row>
    <x:row r="145" ht="72" customHeight="1">
      <x:c r="A145" s="24" t="str">
        <x:v>144</x:v>
      </x:c>
      <x:c r="B145" s="26" t="str">
        <x:v>B144-144</x:v>
      </x:c>
      <x:c r="C145" s="22" t="n">
        <x:v>1</x:v>
      </x:c>
      <x:c r="D145" s="22" t="str">
        <x:v>1/1</x:v>
      </x:c>
      <x:c r="E145" s="26" t="str">
        <x:v>EP01-S08</x:v>
      </x:c>
      <x:c r="F145" s="20" t="str">
        <x:v>8절 인력사무소</x:v>
      </x:c>
      <x:c r="G145" s="20" t="str">
        <x:v>MS</x:v>
      </x:c>
      <x:c r="H145" s="22" t="str"/>
      <x:c r="I145" s="24" t="str">
        <x:v>06-1-1</x:v>
      </x:c>
      <x:c r="J145" s="20" t="str">
        <x:v>책상 부감</x:v>
      </x:c>
      <x:c r="K145" s="16" t="str">
        <x:v>서류를 던져 놓는다</x:v>
      </x:c>
      <x:c r="L145" s="16" t="str">
        <x:v>서류를 던져 놓는다</x:v>
      </x:c>
      <x:c r="M145" s="16" t="str"/>
      <x:c r="N145" s="16" t="str">
        <x:v>툭</x:v>
      </x:c>
      <x:c r="O145" s="16" t="str">
        <x:v>380px · 여백 좁</x:v>
      </x:c>
      <x:c r="P145" s="16" t="str">
        <x:v>Top down. A document tossed onto a desk.</x:v>
      </x:c>
      <x:c r="Q145" s="16" t="str">
        <x:v>HUB_QUEST</x:v>
      </x:c>
      <x:c r="R145" s="16" t="str"/>
      <x:c r="S145" s="16" t="str">
        <x:v>의뢰·보수·마태오의 허브 기능을 소개</x:v>
      </x:c>
      <x:c r="T145" s="16" t="str">
        <x:v>후속 정보가 생기면 행동·배경의 의미를 재검토</x:v>
      </x:c>
      <x:c r="U145" s="16" t="str">
        <x:v>기록 / 이름 / 손실</x:v>
      </x:c>
      <x:c r="V145" s="16" t="str">
        <x:v>미션 선택·보수·허브 의뢰실</x:v>
      </x:c>
      <x:c r="W145" s="16"/>
      <x:c r="X145" s="22" t="str">
        <x:v>NONE</x:v>
      </x:c>
      <x:c r="Y145" s="16" t="str">
        <x:v>GLOBAL-VIS-01</x:v>
      </x:c>
      <x:c r="Z145" s="22" t="str">
        <x:v>SOURCE</x:v>
      </x:c>
      <x:c r="AA145" s="22"/>
      <x:c r="AB145" s="16"/>
      <x:c r="AC145" s="16" t="str">
        <x:v>EP01_대본_전량_001-282(2).md</x:v>
      </x:c>
      <x:c r="AD145" s="22" t="n">
        <x:v>1837</x:v>
      </x:c>
      <x:c r="AE145" s="139" t="str">
        <x:v>NOT_APPLICABLE</x:v>
      </x:c>
      <x:c r="AF145" s="139" t="str">
        <x:v>NONE</x:v>
      </x:c>
    </x:row>
    <x:row r="146" ht="72" customHeight="1">
      <x:c r="A146" s="24" t="str">
        <x:v>145</x:v>
      </x:c>
      <x:c r="B146" s="26" t="str">
        <x:v>B145-145</x:v>
      </x:c>
      <x:c r="C146" s="22" t="n">
        <x:v>1</x:v>
      </x:c>
      <x:c r="D146" s="22" t="str">
        <x:v>1/1</x:v>
      </x:c>
      <x:c r="E146" s="26" t="str">
        <x:v>EP01-S08</x:v>
      </x:c>
      <x:c r="F146" s="20" t="str">
        <x:v>8절 인력사무소</x:v>
      </x:c>
      <x:c r="G146" s="20" t="str">
        <x:v>인서트</x:v>
      </x:c>
      <x:c r="H146" s="22" t="str"/>
      <x:c r="I146" s="24" t="str">
        <x:v>06-1-1</x:v>
      </x:c>
      <x:c r="J146" s="20" t="str">
        <x:v>책상 부감</x:v>
      </x:c>
      <x:c r="K146" s="16" t="str">
        <x:v>의뢰서. 상단에 「강남역 지하상가」</x:v>
      </x:c>
      <x:c r="L146" s="16" t="str">
        <x:v>의뢰서. 상단에 「강남역 지하상가」</x:v>
      </x:c>
      <x:c r="M146" s="16" t="str"/>
      <x:c r="N146" s="16" t="str"/>
      <x:c r="O146" s="16" t="str">
        <x:v>380px · 여백 좁</x:v>
      </x:c>
      <x:c r="P146" s="16" t="str">
        <x:v>A work order sheet. A place name printed at the top.</x:v>
      </x:c>
      <x:c r="Q146" s="16" t="str">
        <x:v>HUB_QUEST</x:v>
      </x:c>
      <x:c r="R146" s="16" t="str"/>
      <x:c r="S146" s="16" t="str">
        <x:v>의뢰·보수·마태오의 허브 기능을 소개</x:v>
      </x:c>
      <x:c r="T146" s="16" t="str">
        <x:v>후속 정보가 생기면 행동·배경의 의미를 재검토</x:v>
      </x:c>
      <x:c r="U146" s="16" t="str">
        <x:v>선택 / 대가 / 침묵</x:v>
      </x:c>
      <x:c r="V146" s="16" t="str">
        <x:v>미션 선택·보수·허브 의뢰실</x:v>
      </x:c>
      <x:c r="W146" s="16"/>
      <x:c r="X146" s="22" t="str">
        <x:v>NONE</x:v>
      </x:c>
      <x:c r="Y146" s="16" t="str">
        <x:v>GLOBAL-VIS-01</x:v>
      </x:c>
      <x:c r="Z146" s="22" t="str">
        <x:v>SOURCE</x:v>
      </x:c>
      <x:c r="AA146" s="22"/>
      <x:c r="AB146" s="16"/>
      <x:c r="AC146" s="16" t="str">
        <x:v>EP01_대본_전량_001-282(2).md</x:v>
      </x:c>
      <x:c r="AD146" s="22" t="n">
        <x:v>1850</x:v>
      </x:c>
      <x:c r="AE146" s="139" t="str">
        <x:v>NOT_APPLICABLE</x:v>
      </x:c>
      <x:c r="AF146" s="139" t="str">
        <x:v>NONE</x:v>
      </x:c>
    </x:row>
    <x:row r="147" ht="72" customHeight="1">
      <x:c r="A147" s="24" t="str">
        <x:v>146</x:v>
      </x:c>
      <x:c r="B147" s="26" t="str">
        <x:v>B146-146</x:v>
      </x:c>
      <x:c r="C147" s="22" t="n">
        <x:v>1</x:v>
      </x:c>
      <x:c r="D147" s="22" t="str">
        <x:v>1/1</x:v>
      </x:c>
      <x:c r="E147" s="26" t="str">
        <x:v>EP01-S08</x:v>
      </x:c>
      <x:c r="F147" s="20" t="str">
        <x:v>8절 인력사무소</x:v>
      </x:c>
      <x:c r="G147" s="20" t="str">
        <x:v>CU 카인</x:v>
      </x:c>
      <x:c r="H147" s="22" t="str"/>
      <x:c r="I147" s="24" t="str">
        <x:v>06-1-3</x:v>
      </x:c>
      <x:c r="J147" s="20" t="str">
        <x:v>사무소 근접판</x:v>
      </x:c>
      <x:c r="K147" s="16" t="str">
        <x:v>금액란을 본다. 눈이 커진다</x:v>
      </x:c>
      <x:c r="L147" s="16" t="str">
        <x:v>금액란을 본다. 눈이 커진다</x:v>
      </x:c>
      <x:c r="M147" s="16" t="str"/>
      <x:c r="N147" s="16" t="str"/>
      <x:c r="O147" s="16" t="str">
        <x:v>400px · 여백 좁</x:v>
      </x:c>
      <x:c r="P147" s="16" t="str">
        <x:v>A large man's eyes widening as he reads a figure.</x:v>
      </x:c>
      <x:c r="Q147" s="16" t="str">
        <x:v>HUB_QUEST</x:v>
      </x:c>
      <x:c r="R147" s="16" t="str"/>
      <x:c r="S147" s="16" t="str">
        <x:v>의뢰·보수·마태오의 허브 기능을 소개</x:v>
      </x:c>
      <x:c r="T147" s="16" t="str">
        <x:v>후속 정보가 생기면 행동·배경의 의미를 재검토</x:v>
      </x:c>
      <x:c r="U147" s="16" t="str">
        <x:v>선택 / 대가 / 침묵</x:v>
      </x:c>
      <x:c r="V147" s="16" t="str">
        <x:v>미션 선택·보수·허브 의뢰실</x:v>
      </x:c>
      <x:c r="W147" s="16"/>
      <x:c r="X147" s="22" t="str">
        <x:v>NONE</x:v>
      </x:c>
      <x:c r="Y147" s="16" t="str">
        <x:v>GLOBAL-VIS-01</x:v>
      </x:c>
      <x:c r="Z147" s="22" t="str">
        <x:v>SOURCE</x:v>
      </x:c>
      <x:c r="AA147" s="22"/>
      <x:c r="AB147" s="16"/>
      <x:c r="AC147" s="16" t="str">
        <x:v>EP01_대본_전량_001-282(2).md</x:v>
      </x:c>
      <x:c r="AD147" s="22" t="n">
        <x:v>1862</x:v>
      </x:c>
      <x:c r="AE147" s="139" t="str">
        <x:v>NOT_APPLICABLE</x:v>
      </x:c>
      <x:c r="AF147" s="139" t="str">
        <x:v>NONE</x:v>
      </x:c>
    </x:row>
    <x:row r="148" ht="72" customHeight="1">
      <x:c r="A148" s="24" t="str">
        <x:v>147</x:v>
      </x:c>
      <x:c r="B148" s="26" t="str">
        <x:v>B147-147</x:v>
      </x:c>
      <x:c r="C148" s="22" t="n">
        <x:v>1</x:v>
      </x:c>
      <x:c r="D148" s="22" t="str">
        <x:v>1/1</x:v>
      </x:c>
      <x:c r="E148" s="26" t="str">
        <x:v>EP01-S08</x:v>
      </x:c>
      <x:c r="F148" s="20" t="str">
        <x:v>8절 인력사무소</x:v>
      </x:c>
      <x:c r="G148" s="20" t="str">
        <x:v>MS 마태오</x:v>
      </x:c>
      <x:c r="H148" s="22" t="str"/>
      <x:c r="I148" s="24" t="str">
        <x:v>06-1-3</x:v>
      </x:c>
      <x:c r="J148" s="20" t="str">
        <x:v>사무소 근접판</x:v>
      </x:c>
      <x:c r="K148" s="16" t="str">
        <x:v>담배를 옮겨 문다</x:v>
      </x:c>
      <x:c r="L148" s="16" t="str">
        <x:v>담배를 옮겨 문다</x:v>
      </x:c>
      <x:c r="M148" s="16" t="str">
        <x:v>대사 · 마태오: 「그전에. 실기 본다.」</x:v>
      </x:c>
      <x:c r="N148" s="16" t="str"/>
      <x:c r="O148" s="16" t="str">
        <x:v>400px · 여백 중</x:v>
      </x:c>
      <x:c r="P148" s="16" t="str">
        <x:v>An older man shifting the unlit cigarette to the other side of his mouth.</x:v>
      </x:c>
      <x:c r="Q148" s="16" t="str">
        <x:v>HUB_QUEST</x:v>
      </x:c>
      <x:c r="R148" s="16" t="str"/>
      <x:c r="S148" s="16" t="str">
        <x:v>의뢰·보수·마태오의 허브 기능을 소개</x:v>
      </x:c>
      <x:c r="T148" s="16" t="str">
        <x:v>후속 정보가 생기면 행동·배경의 의미를 재검토</x:v>
      </x:c>
      <x:c r="U148" s="16" t="str">
        <x:v>선택 / 대가 / 침묵</x:v>
      </x:c>
      <x:c r="V148" s="16" t="str">
        <x:v>미션 선택·보수·허브 의뢰실</x:v>
      </x:c>
      <x:c r="W148" s="16"/>
      <x:c r="X148" s="22" t="str">
        <x:v>NONE</x:v>
      </x:c>
      <x:c r="Y148" s="16" t="str">
        <x:v>GLOBAL-VIS-01</x:v>
      </x:c>
      <x:c r="Z148" s="22" t="str">
        <x:v>SOURCE</x:v>
      </x:c>
      <x:c r="AA148" s="22"/>
      <x:c r="AB148" s="16"/>
      <x:c r="AC148" s="16" t="str">
        <x:v>EP01_대본_전량_001-282(2).md</x:v>
      </x:c>
      <x:c r="AD148" s="22" t="n">
        <x:v>1874</x:v>
      </x:c>
      <x:c r="AE148" s="139" t="str">
        <x:v>NOT_APPLICABLE</x:v>
      </x:c>
      <x:c r="AF148" s="139" t="str">
        <x:v>NONE</x:v>
      </x:c>
    </x:row>
    <x:row r="149" ht="72" customHeight="1">
      <x:c r="A149" s="24" t="str">
        <x:v>148</x:v>
      </x:c>
      <x:c r="B149" s="26" t="str">
        <x:v>B148-148</x:v>
      </x:c>
      <x:c r="C149" s="22" t="n">
        <x:v>1</x:v>
      </x:c>
      <x:c r="D149" s="22" t="str">
        <x:v>1/1</x:v>
      </x:c>
      <x:c r="E149" s="26" t="str">
        <x:v>EP01-S08</x:v>
      </x:c>
      <x:c r="F149" s="20" t="str">
        <x:v>8절 인력사무소</x:v>
      </x:c>
      <x:c r="G149" s="20" t="str">
        <x:v>CU 카인</x:v>
      </x:c>
      <x:c r="H149" s="22" t="str"/>
      <x:c r="I149" s="24" t="str">
        <x:v>06-1-3</x:v>
      </x:c>
      <x:c r="J149" s="20" t="str">
        <x:v>사무소 근접판</x:v>
      </x:c>
      <x:c r="K149" s="16" t="str"/>
      <x:c r="L149" s="16" t="str"/>
      <x:c r="M149" s="16" t="str">
        <x:v>대사 · 카인: 「실기요?」</x:v>
      </x:c>
      <x:c r="N149" s="16" t="str"/>
      <x:c r="O149" s="16" t="str">
        <x:v>380px · 여백 좁</x:v>
      </x:c>
      <x:c r="P149" s="16" t="str">
        <x:v>A large man, puzzled.</x:v>
      </x:c>
      <x:c r="Q149" s="16" t="str">
        <x:v>HUB_QUEST</x:v>
      </x:c>
      <x:c r="R149" s="16" t="str"/>
      <x:c r="S149" s="16" t="str">
        <x:v>의뢰·보수·마태오의 허브 기능을 소개</x:v>
      </x:c>
      <x:c r="T149" s="16" t="str">
        <x:v>후속 정보가 생기면 행동·배경의 의미를 재검토</x:v>
      </x:c>
      <x:c r="U149" s="16" t="str">
        <x:v>선택 / 대가 / 침묵</x:v>
      </x:c>
      <x:c r="V149" s="16" t="str">
        <x:v>미션 선택·보수·허브 의뢰실</x:v>
      </x:c>
      <x:c r="W149" s="16"/>
      <x:c r="X149" s="22" t="str">
        <x:v>NONE</x:v>
      </x:c>
      <x:c r="Y149" s="16" t="str">
        <x:v>GLOBAL-VIS-01</x:v>
      </x:c>
      <x:c r="Z149" s="22" t="str">
        <x:v>SOURCE</x:v>
      </x:c>
      <x:c r="AA149" s="22"/>
      <x:c r="AB149" s="16"/>
      <x:c r="AC149" s="16" t="str">
        <x:v>EP01_대본_전량_001-282(2).md</x:v>
      </x:c>
      <x:c r="AD149" s="22" t="n">
        <x:v>1887</x:v>
      </x:c>
      <x:c r="AE149" s="139" t="str">
        <x:v>NOT_APPLICABLE</x:v>
      </x:c>
      <x:c r="AF149" s="139" t="str">
        <x:v>NONE</x:v>
      </x:c>
    </x:row>
    <x:row r="150" ht="72" customHeight="1">
      <x:c r="A150" s="24" t="str">
        <x:v>149</x:v>
      </x:c>
      <x:c r="B150" s="26" t="str">
        <x:v>B149-149</x:v>
      </x:c>
      <x:c r="C150" s="22" t="n">
        <x:v>1</x:v>
      </x:c>
      <x:c r="D150" s="22" t="str">
        <x:v>1/1</x:v>
      </x:c>
      <x:c r="E150" s="26" t="str">
        <x:v>EP01-S08</x:v>
      </x:c>
      <x:c r="F150" s="20" t="str">
        <x:v>8절 인력사무소</x:v>
      </x:c>
      <x:c r="G150" s="20" t="str">
        <x:v>MS 마태오</x:v>
      </x:c>
      <x:c r="H150" s="22" t="str"/>
      <x:c r="I150" s="24" t="str">
        <x:v>06-1</x:v>
      </x:c>
      <x:c r="J150" s="20" t="str">
        <x:v>사무소</x:v>
      </x:c>
      <x:c r="K150" s="16" t="str">
        <x:v>일어선다. 여전히 CRT를 안 본다</x:v>
      </x:c>
      <x:c r="L150" s="16" t="str">
        <x:v>일어선다. 여전히 CRT를 안 본다</x:v>
      </x:c>
      <x:c r="M150" s="16" t="str">
        <x:v>대사 · 마태오: 「등록만 하면 다 용병인 줄 알아.」</x:v>
      </x:c>
      <x:c r="N150" s="16" t="str"/>
      <x:c r="O150" s="16" t="str">
        <x:v>430px · 여백 넓</x:v>
      </x:c>
      <x:c r="P150" s="16" t="str">
        <x:v>An older man standing up, still not looking at the monitor.</x:v>
      </x:c>
      <x:c r="Q150" s="16" t="str">
        <x:v>HUB_QUEST</x:v>
      </x:c>
      <x:c r="R150" s="16" t="str"/>
      <x:c r="S150" s="16" t="str">
        <x:v>의뢰·보수·마태오의 허브 기능을 소개</x:v>
      </x:c>
      <x:c r="T150" s="16" t="str">
        <x:v>후속 정보가 생기면 행동·배경의 의미를 재검토</x:v>
      </x:c>
      <x:c r="U150" s="16" t="str">
        <x:v>선택 / 대가 / 침묵</x:v>
      </x:c>
      <x:c r="V150" s="16" t="str">
        <x:v>미션 선택·보수·허브 의뢰실</x:v>
      </x:c>
      <x:c r="W150" s="16"/>
      <x:c r="X150" s="22" t="str">
        <x:v>NONE</x:v>
      </x:c>
      <x:c r="Y150" s="16" t="str">
        <x:v>GLOBAL-VIS-01</x:v>
      </x:c>
      <x:c r="Z150" s="22" t="str">
        <x:v>SOURCE</x:v>
      </x:c>
      <x:c r="AA150" s="22"/>
      <x:c r="AB150" s="16"/>
      <x:c r="AC150" s="16" t="str">
        <x:v>EP01_대본_전량_001-282(2).md</x:v>
      </x:c>
      <x:c r="AD150" s="22" t="n">
        <x:v>1900</x:v>
      </x:c>
      <x:c r="AE150" s="139" t="str">
        <x:v>NOT_APPLICABLE</x:v>
      </x:c>
      <x:c r="AF150" s="139" t="str">
        <x:v>NONE</x:v>
      </x:c>
    </x:row>
    <x:row r="151" ht="72" customHeight="1">
      <x:c r="A151" s="24" t="str">
        <x:v>150</x:v>
      </x:c>
      <x:c r="B151" s="26" t="str">
        <x:v>B150-150</x:v>
      </x:c>
      <x:c r="C151" s="22" t="n">
        <x:v>1</x:v>
      </x:c>
      <x:c r="D151" s="22" t="str">
        <x:v>1/1</x:v>
      </x:c>
      <x:c r="E151" s="26" t="str">
        <x:v>EP01-S09</x:v>
      </x:c>
      <x:c r="F151" s="20" t="str">
        <x:v>8절 훈련장 진입</x:v>
      </x:c>
      <x:c r="G151" s="20" t="str">
        <x:v>극세로 부감</x:v>
      </x:c>
      <x:c r="H151" s="22" t="str"/>
      <x:c r="I151" s="24" t="str">
        <x:v>07-1-2</x:v>
      </x:c>
      <x:c r="J151" s="20" t="str">
        <x:v>훈련장 계단</x:v>
      </x:c>
      <x:c r="K151" s="16" t="str">
        <x:v>지하 훈련장으로 내려가는 계단</x:v>
      </x:c>
      <x:c r="L151" s="16" t="str">
        <x:v>지하 훈련장으로 내려가는 계단</x:v>
      </x:c>
      <x:c r="M151" s="16" t="str"/>
      <x:c r="N151" s="16" t="str"/>
      <x:c r="O151" s="16" t="str">
        <x:v>900px · 여백 좁</x:v>
      </x:c>
      <x:c r="P151" s="16" t="str">
        <x:v>A staircase descending into a large underground hall, seen from above.</x:v>
      </x:c>
      <x:c r="Q151" s="16" t="str">
        <x:v>TUTORIAL_SETUP</x:v>
      </x:c>
      <x:c r="R151" s="16" t="str"/>
      <x:c r="S151" s="16" t="str">
        <x:v>훈련장·허수아비·문양을 통해 전투 튜토리얼을 준비</x:v>
      </x:c>
      <x:c r="T151" s="16" t="str">
        <x:v>후속 정보가 생기면 행동·배경의 의미를 재검토</x:v>
      </x:c>
      <x:c r="U151" s="16" t="str">
        <x:v>선택 / 대가 / 침묵</x:v>
      </x:c>
      <x:c r="V151" s="16" t="str">
        <x:v>훈련장 진입·표적·관측창·보스 트리거</x:v>
      </x:c>
      <x:c r="W151" s="16"/>
      <x:c r="X151" s="22" t="str">
        <x:v>NONE</x:v>
      </x:c>
      <x:c r="Y151" s="16" t="str">
        <x:v>GLOBAL-VIS-01</x:v>
      </x:c>
      <x:c r="Z151" s="22" t="str">
        <x:v>SOURCE</x:v>
      </x:c>
      <x:c r="AA151" s="22"/>
      <x:c r="AB151" s="16"/>
      <x:c r="AC151" s="16" t="str">
        <x:v>EP01_대본_전량_001-282(2).md</x:v>
      </x:c>
      <x:c r="AD151" s="22" t="n">
        <x:v>1919</x:v>
      </x:c>
      <x:c r="AE151" s="139" t="str">
        <x:v>NOT_APPLICABLE</x:v>
      </x:c>
      <x:c r="AF151" s="139" t="str">
        <x:v>NONE</x:v>
      </x:c>
    </x:row>
    <x:row r="152" ht="72" customHeight="1">
      <x:c r="A152" s="24" t="str">
        <x:v>151</x:v>
      </x:c>
      <x:c r="B152" s="26" t="str">
        <x:v>B151-151</x:v>
      </x:c>
      <x:c r="C152" s="22" t="n">
        <x:v>1</x:v>
      </x:c>
      <x:c r="D152" s="22" t="str">
        <x:v>1/1</x:v>
      </x:c>
      <x:c r="E152" s="26" t="str">
        <x:v>EP01-S09</x:v>
      </x:c>
      <x:c r="F152" s="20" t="str">
        <x:v>8절 훈련장 진입</x:v>
      </x:c>
      <x:c r="G152" s="20" t="str">
        <x:v>EWIDE 블리드</x:v>
      </x:c>
      <x:c r="H152" s="22" t="str">
        <x:v>⭐</x:v>
      </x:c>
      <x:c r="I152" s="24" t="str">
        <x:v>07-1</x:v>
      </x:c>
      <x:c r="J152" s="20" t="str">
        <x:v>훈련장 냉백</x:v>
      </x:c>
      <x:c r="K152" s="16" t="str">
        <x:v>훈련장. 텅 빈 콘크리트 바닥. 천장이 높다</x:v>
      </x:c>
      <x:c r="L152" s="16" t="str">
        <x:v>훈련장. 텅 빈 콘크리트 바닥. 천장이 높다</x:v>
      </x:c>
      <x:c r="M152" s="16" t="str"/>
      <x:c r="N152" s="16" t="str">
        <x:v>웅—</x:v>
      </x:c>
      <x:c r="O152" s="16" t="str">
        <x:v>1,500px · 여백 넓</x:v>
      </x:c>
      <x:c r="P152" s="16" t="str">
        <x:v>A vast empty underground training hall. Bare concrete floor, high ceiling. Completely empty.</x:v>
      </x:c>
      <x:c r="Q152" s="16" t="str">
        <x:v>TUTORIAL_SETUP</x:v>
      </x:c>
      <x:c r="R152" s="16" t="str">
        <x:v>SIGNATURE</x:v>
      </x:c>
      <x:c r="S152" s="16" t="str">
        <x:v>훈련장·허수아비·문양을 통해 전투 튜토리얼을 준비</x:v>
      </x:c>
      <x:c r="T152" s="16" t="str">
        <x:v>시그니처 상징의 기원</x:v>
      </x:c>
      <x:c r="U152" s="16" t="str">
        <x:v>선택 / 대가 / 침묵</x:v>
      </x:c>
      <x:c r="V152" s="16" t="str">
        <x:v>훈련장 진입·표적·관측창·보스 트리거</x:v>
      </x:c>
      <x:c r="W152" s="16"/>
      <x:c r="X152" s="22" t="str">
        <x:v>NONE</x:v>
      </x:c>
      <x:c r="Y152" s="16" t="str">
        <x:v>GLOBAL-VIS-01</x:v>
      </x:c>
      <x:c r="Z152" s="22" t="str">
        <x:v>SOURCE</x:v>
      </x:c>
      <x:c r="AA152" s="22"/>
      <x:c r="AB152" s="16"/>
      <x:c r="AC152" s="16" t="str">
        <x:v>EP01_대본_전량_001-282(2).md</x:v>
      </x:c>
      <x:c r="AD152" s="22" t="n">
        <x:v>1931</x:v>
      </x:c>
      <x:c r="AE152" s="139" t="str">
        <x:v>NOT_APPLICABLE</x:v>
      </x:c>
      <x:c r="AF152" s="139" t="str">
        <x:v>NONE</x:v>
      </x:c>
    </x:row>
    <x:row r="153" ht="72" customHeight="1">
      <x:c r="A153" s="24" t="str">
        <x:v>152</x:v>
      </x:c>
      <x:c r="B153" s="26" t="str">
        <x:v>B152-152</x:v>
      </x:c>
      <x:c r="C153" s="22" t="n">
        <x:v>1</x:v>
      </x:c>
      <x:c r="D153" s="22" t="str">
        <x:v>1/1</x:v>
      </x:c>
      <x:c r="E153" s="26" t="str">
        <x:v>EP01-S09</x:v>
      </x:c>
      <x:c r="F153" s="20" t="str">
        <x:v>8절 훈련장 진입</x:v>
      </x:c>
      <x:c r="G153" s="20" t="str">
        <x:v>WIDE</x:v>
      </x:c>
      <x:c r="H153" s="22" t="str"/>
      <x:c r="I153" s="24" t="str">
        <x:v>07-1-3</x:v>
      </x:c>
      <x:c r="J153" s="20" t="str">
        <x:v>훈련장 근접판 냉백</x:v>
      </x:c>
      <x:c r="K153" s="16" t="str">
        <x:v>바닥 한가운데. 철사슬로 묶인 훈련용 짚단 허수아비</x:v>
      </x:c>
      <x:c r="L153" s="16" t="str">
        <x:v>바닥 한가운데. 철사슬로 묶인 훈련용 짚단 허수아비</x:v>
      </x:c>
      <x:c r="M153" s="16" t="str"/>
      <x:c r="N153" s="16" t="str"/>
      <x:c r="O153" s="16" t="str">
        <x:v>470px · 여백 중</x:v>
      </x:c>
      <x:c r="P153" s="16" t="str">
        <x:v>A straw training dummy bound with chains, standing alone on a concrete floor.</x:v>
      </x:c>
      <x:c r="Q153" s="16" t="str">
        <x:v>TUTORIAL_SETUP</x:v>
      </x:c>
      <x:c r="R153" s="16" t="str"/>
      <x:c r="S153" s="16" t="str">
        <x:v>훈련장·허수아비·문양을 통해 전투 튜토리얼을 준비</x:v>
      </x:c>
      <x:c r="T153" s="16" t="str">
        <x:v>후속 정보가 생기면 행동·배경의 의미를 재검토</x:v>
      </x:c>
      <x:c r="U153" s="16" t="str">
        <x:v>선택 / 대가 / 침묵</x:v>
      </x:c>
      <x:c r="V153" s="16" t="str">
        <x:v>훈련장 진입·표적·관측창·보스 트리거</x:v>
      </x:c>
      <x:c r="W153" s="16"/>
      <x:c r="X153" s="22" t="str">
        <x:v>NONE</x:v>
      </x:c>
      <x:c r="Y153" s="16" t="str">
        <x:v>GLOBAL-VIS-01</x:v>
      </x:c>
      <x:c r="Z153" s="22" t="str">
        <x:v>SOURCE</x:v>
      </x:c>
      <x:c r="AA153" s="22"/>
      <x:c r="AB153" s="16"/>
      <x:c r="AC153" s="16" t="str">
        <x:v>EP01_대본_전량_001-282(2).md</x:v>
      </x:c>
      <x:c r="AD153" s="22" t="n">
        <x:v>1944</x:v>
      </x:c>
      <x:c r="AE153" s="139" t="str">
        <x:v>NOT_APPLICABLE</x:v>
      </x:c>
      <x:c r="AF153" s="139" t="str">
        <x:v>NONE</x:v>
      </x:c>
    </x:row>
    <x:row r="154" ht="72" customHeight="1">
      <x:c r="A154" s="24" t="str">
        <x:v>153</x:v>
      </x:c>
      <x:c r="B154" s="26" t="str">
        <x:v>B153-153</x:v>
      </x:c>
      <x:c r="C154" s="22" t="n">
        <x:v>1</x:v>
      </x:c>
      <x:c r="D154" s="22" t="str">
        <x:v>1/1</x:v>
      </x:c>
      <x:c r="E154" s="26" t="str">
        <x:v>EP01-S09</x:v>
      </x:c>
      <x:c r="F154" s="20" t="str">
        <x:v>8절 훈련장 진입</x:v>
      </x:c>
      <x:c r="G154" s="20" t="str">
        <x:v>MS</x:v>
      </x:c>
      <x:c r="H154" s="22" t="str"/>
      <x:c r="I154" s="24" t="str">
        <x:v>07-1-3</x:v>
      </x:c>
      <x:c r="J154" s="20" t="str">
        <x:v>훈련장 근접판 냉백</x:v>
      </x:c>
      <x:c r="K154" s="16" t="str">
        <x:v>3미터. 짚과 철사가 엉켜 있다</x:v>
      </x:c>
      <x:c r="L154" s="16" t="str">
        <x:v>3미터. 짚과 철사가 엉켜 있다</x:v>
      </x:c>
      <x:c r="M154" s="16" t="str"/>
      <x:c r="N154" s="16" t="str"/>
      <x:c r="O154" s="16" t="str">
        <x:v>430px · 여백 좁</x:v>
      </x:c>
      <x:c r="P154" s="16" t="str">
        <x:v>Close on a three meter straw dummy. Straw and wire tangled together.</x:v>
      </x:c>
      <x:c r="Q154" s="16" t="str">
        <x:v>TUTORIAL_SETUP</x:v>
      </x:c>
      <x:c r="R154" s="16" t="str"/>
      <x:c r="S154" s="16" t="str">
        <x:v>훈련장·허수아비·문양을 통해 전투 튜토리얼을 준비</x:v>
      </x:c>
      <x:c r="T154" s="16" t="str">
        <x:v>후속 정보가 생기면 행동·배경의 의미를 재검토</x:v>
      </x:c>
      <x:c r="U154" s="16" t="str">
        <x:v>선택 / 대가 / 침묵</x:v>
      </x:c>
      <x:c r="V154" s="16" t="str">
        <x:v>훈련장 진입·표적·관측창·보스 트리거</x:v>
      </x:c>
      <x:c r="W154" s="16"/>
      <x:c r="X154" s="22" t="str">
        <x:v>NONE</x:v>
      </x:c>
      <x:c r="Y154" s="16" t="str">
        <x:v>GLOBAL-VIS-01</x:v>
      </x:c>
      <x:c r="Z154" s="22" t="str">
        <x:v>SOURCE</x:v>
      </x:c>
      <x:c r="AA154" s="22"/>
      <x:c r="AB154" s="16"/>
      <x:c r="AC154" s="16" t="str">
        <x:v>EP01_대본_전량_001-282(2).md</x:v>
      </x:c>
      <x:c r="AD154" s="22" t="n">
        <x:v>1956</x:v>
      </x:c>
      <x:c r="AE154" s="139" t="str">
        <x:v>NOT_APPLICABLE</x:v>
      </x:c>
      <x:c r="AF154" s="139" t="str">
        <x:v>NONE</x:v>
      </x:c>
    </x:row>
    <x:row r="155" ht="72" customHeight="1">
      <x:c r="A155" s="24" t="str">
        <x:v>154</x:v>
      </x:c>
      <x:c r="B155" s="26" t="str">
        <x:v>B154-154</x:v>
      </x:c>
      <x:c r="C155" s="22" t="n">
        <x:v>1</x:v>
      </x:c>
      <x:c r="D155" s="22" t="str">
        <x:v>1/1</x:v>
      </x:c>
      <x:c r="E155" s="26" t="str">
        <x:v>EP01-S09</x:v>
      </x:c>
      <x:c r="F155" s="20" t="str">
        <x:v>8절 훈련장 진입</x:v>
      </x:c>
      <x:c r="G155" s="20" t="str">
        <x:v>인서트</x:v>
      </x:c>
      <x:c r="H155" s="22" t="str">
        <x:v>🎣</x:v>
      </x:c>
      <x:c r="I155" s="24" t="str">
        <x:v>07-1-1</x:v>
      </x:c>
      <x:c r="J155" s="20" t="str">
        <x:v>훈련장 바닥</x:v>
      </x:c>
      <x:c r="K155" s="16" t="str">
        <x:v>발밑 바닥에 원형 문양. 오래된 각인</x:v>
      </x:c>
      <x:c r="L155" s="16" t="str">
        <x:v>발밑 바닥에 원형 문양. 오래된 각인</x:v>
      </x:c>
      <x:c r="M155" s="16" t="str"/>
      <x:c r="N155" s="16" t="str"/>
      <x:c r="O155" s="16" t="str">
        <x:v>400px · 여백 중</x:v>
      </x:c>
      <x:c r="P155" s="16" t="str">
        <x:v>Top down on a concrete floor. A faint worn circular sigil. Do not emphasize.</x:v>
      </x:c>
      <x:c r="Q155" s="16" t="str">
        <x:v>TUTORIAL_SETUP</x:v>
      </x:c>
      <x:c r="R155" s="16" t="str">
        <x:v>FORESHADOW</x:v>
      </x:c>
      <x:c r="S155" s="16" t="str">
        <x:v>훈련장·허수아비·문양을 통해 전투 튜토리얼을 준비</x:v>
      </x:c>
      <x:c r="T155" s="16" t="str">
        <x:v>처음에는 배경·노이즈로 보인 정보의 의미가 바뀜</x:v>
      </x:c>
      <x:c r="U155" s="16" t="str">
        <x:v>거리 / 보호 / 선택 / 박자</x:v>
      </x:c>
      <x:c r="V155" s="16" t="str">
        <x:v>훈련장 진입·표적·관측창·보스 트리거</x:v>
      </x:c>
      <x:c r="W155" s="16" t="str">
        <x:v>OPEN: 허수아비 아래 문양 — 세계가 인물보다 오래되었음을 남기는 잔향</x:v>
      </x:c>
      <x:c r="X155" s="22" t="str">
        <x:v>OPEN</x:v>
      </x:c>
      <x:c r="Y155" s="16" t="str">
        <x:v>복선 강조 금지 / GLOBAL-VIS-01</x:v>
      </x:c>
      <x:c r="Z155" s="22" t="str">
        <x:v>SOURCE</x:v>
      </x:c>
      <x:c r="AA155" s="22"/>
      <x:c r="AB155" s="16" t="str">
        <x:v>반복은 가능하되 설명 의무 없음. 원인·봉인·측정 장치 중 하나로 확정하지 않는다.</x:v>
      </x:c>
      <x:c r="AC155" s="16" t="str">
        <x:v>EP01_대본_전량_001-282(2).md</x:v>
      </x:c>
      <x:c r="AD155" s="22" t="n">
        <x:v>1968</x:v>
      </x:c>
      <x:c r="AE155" s="139" t="str">
        <x:v>INDETERMINATE</x:v>
      </x:c>
      <x:c r="AF155" s="139" t="str">
        <x:v>NO_ANSWER_PROMISE</x:v>
      </x:c>
    </x:row>
    <x:row r="156" ht="72" customHeight="1">
      <x:c r="A156" s="24" t="str">
        <x:v>155</x:v>
      </x:c>
      <x:c r="B156" s="26" t="str">
        <x:v>B155-155</x:v>
      </x:c>
      <x:c r="C156" s="22" t="n">
        <x:v>1</x:v>
      </x:c>
      <x:c r="D156" s="22" t="str">
        <x:v>1/1</x:v>
      </x:c>
      <x:c r="E156" s="26" t="str">
        <x:v>EP01-S09</x:v>
      </x:c>
      <x:c r="F156" s="20" t="str">
        <x:v>8절 훈련장 진입</x:v>
      </x:c>
      <x:c r="G156" s="20" t="str">
        <x:v>MS 마태오</x:v>
      </x:c>
      <x:c r="H156" s="22" t="str"/>
      <x:c r="I156" s="24" t="str">
        <x:v>07-1-3</x:v>
      </x:c>
      <x:c r="J156" s="20" t="str">
        <x:v>훈련장 근접판 냉백</x:v>
      </x:c>
      <x:c r="K156" s="16" t="str">
        <x:v>관측창 쪽으로 걸어간다</x:v>
      </x:c>
      <x:c r="L156" s="16" t="str">
        <x:v>관측창 쪽으로 걸어간다</x:v>
      </x:c>
      <x:c r="M156" s="16" t="str">
        <x:v>대사 · 마태오: 「쳐라.」</x:v>
      </x:c>
      <x:c r="N156" s="16" t="str"/>
      <x:c r="O156" s="16" t="str">
        <x:v>430px · 여백 좁</x:v>
      </x:c>
      <x:c r="P156" s="16" t="str">
        <x:v>An older man walking toward an observation window.</x:v>
      </x:c>
      <x:c r="Q156" s="16" t="str">
        <x:v>TUTORIAL_SETUP</x:v>
      </x:c>
      <x:c r="R156" s="16" t="str"/>
      <x:c r="S156" s="16" t="str">
        <x:v>훈련장·허수아비·문양을 통해 전투 튜토리얼을 준비</x:v>
      </x:c>
      <x:c r="T156" s="16" t="str">
        <x:v>후속 정보가 생기면 행동·배경의 의미를 재검토</x:v>
      </x:c>
      <x:c r="U156" s="16" t="str">
        <x:v>선택 / 대가 / 침묵</x:v>
      </x:c>
      <x:c r="V156" s="16" t="str">
        <x:v>훈련장 진입·표적·관측창·보스 트리거</x:v>
      </x:c>
      <x:c r="W156" s="16"/>
      <x:c r="X156" s="22" t="str">
        <x:v>NONE</x:v>
      </x:c>
      <x:c r="Y156" s="16" t="str">
        <x:v>GLOBAL-VIS-01</x:v>
      </x:c>
      <x:c r="Z156" s="22" t="str">
        <x:v>SOURCE</x:v>
      </x:c>
      <x:c r="AA156" s="22"/>
      <x:c r="AB156" s="16"/>
      <x:c r="AC156" s="16" t="str">
        <x:v>EP01_대본_전량_001-282(2).md</x:v>
      </x:c>
      <x:c r="AD156" s="22" t="n">
        <x:v>1980</x:v>
      </x:c>
      <x:c r="AE156" s="139" t="str">
        <x:v>NOT_APPLICABLE</x:v>
      </x:c>
      <x:c r="AF156" s="139" t="str">
        <x:v>NONE</x:v>
      </x:c>
    </x:row>
    <x:row r="157" ht="72" customHeight="1">
      <x:c r="A157" s="24" t="str">
        <x:v>156</x:v>
      </x:c>
      <x:c r="B157" s="26" t="str">
        <x:v>B156-156</x:v>
      </x:c>
      <x:c r="C157" s="22" t="n">
        <x:v>1</x:v>
      </x:c>
      <x:c r="D157" s="22" t="str">
        <x:v>1/1</x:v>
      </x:c>
      <x:c r="E157" s="26" t="str">
        <x:v>EP01-S09</x:v>
      </x:c>
      <x:c r="F157" s="20" t="str">
        <x:v>8절 훈련장 진입</x:v>
      </x:c>
      <x:c r="G157" s="20" t="str">
        <x:v>CU 카인</x:v>
      </x:c>
      <x:c r="H157" s="22" t="str"/>
      <x:c r="I157" s="24" t="str">
        <x:v>07-1-3</x:v>
      </x:c>
      <x:c r="J157" s="20" t="str">
        <x:v>훈련장 근접판 냉백</x:v>
      </x:c>
      <x:c r="K157" s="16" t="str"/>
      <x:c r="L157" s="16" t="str"/>
      <x:c r="M157" s="16" t="str">
        <x:v>대사 · 카인: 「저 짚단을요?」</x:v>
      </x:c>
      <x:c r="N157" s="16" t="str"/>
      <x:c r="O157" s="16" t="str">
        <x:v>400px · 여백 좁</x:v>
      </x:c>
      <x:c r="P157" s="16" t="str">
        <x:v>A large man looking at the dummy.</x:v>
      </x:c>
      <x:c r="Q157" s="16" t="str">
        <x:v>TUTORIAL_SETUP</x:v>
      </x:c>
      <x:c r="R157" s="16" t="str"/>
      <x:c r="S157" s="16" t="str">
        <x:v>훈련장·허수아비·문양을 통해 전투 튜토리얼을 준비</x:v>
      </x:c>
      <x:c r="T157" s="16" t="str">
        <x:v>후속 정보가 생기면 행동·배경의 의미를 재검토</x:v>
      </x:c>
      <x:c r="U157" s="16" t="str">
        <x:v>선택 / 대가 / 침묵</x:v>
      </x:c>
      <x:c r="V157" s="16" t="str">
        <x:v>훈련장 진입·표적·관측창·보스 트리거</x:v>
      </x:c>
      <x:c r="W157" s="16"/>
      <x:c r="X157" s="22" t="str">
        <x:v>NONE</x:v>
      </x:c>
      <x:c r="Y157" s="16" t="str">
        <x:v>GLOBAL-VIS-01</x:v>
      </x:c>
      <x:c r="Z157" s="22" t="str">
        <x:v>SOURCE</x:v>
      </x:c>
      <x:c r="AA157" s="22"/>
      <x:c r="AB157" s="16"/>
      <x:c r="AC157" s="16" t="str">
        <x:v>EP01_대본_전량_001-282(2).md</x:v>
      </x:c>
      <x:c r="AD157" s="22" t="n">
        <x:v>1993</x:v>
      </x:c>
      <x:c r="AE157" s="139" t="str">
        <x:v>NOT_APPLICABLE</x:v>
      </x:c>
      <x:c r="AF157" s="139" t="str">
        <x:v>NONE</x:v>
      </x:c>
    </x:row>
    <x:row r="158" ht="72" customHeight="1">
      <x:c r="A158" s="24" t="str">
        <x:v>157</x:v>
      </x:c>
      <x:c r="B158" s="26" t="str">
        <x:v>B157-157</x:v>
      </x:c>
      <x:c r="C158" s="22" t="n">
        <x:v>1</x:v>
      </x:c>
      <x:c r="D158" s="22" t="str">
        <x:v>1/1</x:v>
      </x:c>
      <x:c r="E158" s="26" t="str">
        <x:v>EP01-S09</x:v>
      </x:c>
      <x:c r="F158" s="20" t="str">
        <x:v>8절 훈련장 진입</x:v>
      </x:c>
      <x:c r="G158" s="20" t="str">
        <x:v>MS 마태오</x:v>
      </x:c>
      <x:c r="H158" s="22" t="str"/>
      <x:c r="I158" s="24" t="str">
        <x:v>07-1-3</x:v>
      </x:c>
      <x:c r="J158" s="20" t="str">
        <x:v>훈련장 근접판 냉백</x:v>
      </x:c>
      <x:c r="K158" s="16" t="str">
        <x:v>돌아보지 않는다</x:v>
      </x:c>
      <x:c r="L158" s="16" t="str">
        <x:v>돌아보지 않는다</x:v>
      </x:c>
      <x:c r="M158" s="16" t="str">
        <x:v>대사 · 마태오: 「30만 원짜리다. 살살.」</x:v>
      </x:c>
      <x:c r="N158" s="16" t="str"/>
      <x:c r="O158" s="16" t="str">
        <x:v>400px · 여백 넓</x:v>
      </x:c>
      <x:c r="P158" s="16" t="str">
        <x:v>An older man speaking without turning around.</x:v>
      </x:c>
      <x:c r="Q158" s="16" t="str">
        <x:v>TUTORIAL_SETUP</x:v>
      </x:c>
      <x:c r="R158" s="16" t="str"/>
      <x:c r="S158" s="16" t="str">
        <x:v>훈련장·허수아비·문양을 통해 전투 튜토리얼을 준비</x:v>
      </x:c>
      <x:c r="T158" s="16" t="str">
        <x:v>후속 정보가 생기면 행동·배경의 의미를 재검토</x:v>
      </x:c>
      <x:c r="U158" s="16" t="str">
        <x:v>선택 / 대가 / 침묵</x:v>
      </x:c>
      <x:c r="V158" s="16" t="str">
        <x:v>훈련장 진입·표적·관측창·보스 트리거</x:v>
      </x:c>
      <x:c r="W158" s="16"/>
      <x:c r="X158" s="22" t="str">
        <x:v>NONE</x:v>
      </x:c>
      <x:c r="Y158" s="16" t="str">
        <x:v>GLOBAL-VIS-01</x:v>
      </x:c>
      <x:c r="Z158" s="22" t="str">
        <x:v>SOURCE</x:v>
      </x:c>
      <x:c r="AA158" s="22"/>
      <x:c r="AB158" s="16"/>
      <x:c r="AC158" s="16" t="str">
        <x:v>EP01_대본_전량_001-282(2).md</x:v>
      </x:c>
      <x:c r="AD158" s="22" t="n">
        <x:v>2006</x:v>
      </x:c>
      <x:c r="AE158" s="139" t="str">
        <x:v>NOT_APPLICABLE</x:v>
      </x:c>
      <x:c r="AF158" s="139" t="str">
        <x:v>NONE</x:v>
      </x:c>
    </x:row>
    <x:row r="159" ht="72" customHeight="1">
      <x:c r="A159" s="24" t="str">
        <x:v>158</x:v>
      </x:c>
      <x:c r="B159" s="26" t="str">
        <x:v>B158-158</x:v>
      </x:c>
      <x:c r="C159" s="22" t="n">
        <x:v>1</x:v>
      </x:c>
      <x:c r="D159" s="22" t="str">
        <x:v>1/1</x:v>
      </x:c>
      <x:c r="E159" s="26" t="str">
        <x:v>EP01-S09</x:v>
      </x:c>
      <x:c r="F159" s="20" t="str">
        <x:v>8절 훈련장 진입</x:v>
      </x:c>
      <x:c r="G159" s="20" t="str">
        <x:v>WIDE</x:v>
      </x:c>
      <x:c r="H159" s="22" t="str"/>
      <x:c r="I159" s="24" t="str">
        <x:v>07-1</x:v>
      </x:c>
      <x:c r="J159" s="20" t="str">
        <x:v>훈련장 냉백</x:v>
      </x:c>
      <x:c r="K159" s="16" t="str">
        <x:v>두 사람이 허수아비 앞에 선다</x:v>
      </x:c>
      <x:c r="L159" s="16" t="str">
        <x:v>두 사람이 허수아비 앞에 선다</x:v>
      </x:c>
      <x:c r="M159" s="16" t="str"/>
      <x:c r="N159" s="16" t="str"/>
      <x:c r="O159" s="16" t="str">
        <x:v>470px · 여백 중</x:v>
      </x:c>
      <x:c r="P159" s="16" t="str">
        <x:v>Two figures standing in front of a straw dummy in a vast hall.</x:v>
      </x:c>
      <x:c r="Q159" s="16" t="str">
        <x:v>TUTORIAL_SETUP</x:v>
      </x:c>
      <x:c r="R159" s="16" t="str"/>
      <x:c r="S159" s="16" t="str">
        <x:v>훈련장·허수아비·문양을 통해 전투 튜토리얼을 준비</x:v>
      </x:c>
      <x:c r="T159" s="16" t="str">
        <x:v>후속 정보가 생기면 행동·배경의 의미를 재검토</x:v>
      </x:c>
      <x:c r="U159" s="16" t="str">
        <x:v>선택 / 대가 / 침묵</x:v>
      </x:c>
      <x:c r="V159" s="16" t="str">
        <x:v>훈련장 진입·표적·관측창·보스 트리거</x:v>
      </x:c>
      <x:c r="W159" s="16"/>
      <x:c r="X159" s="22" t="str">
        <x:v>NONE</x:v>
      </x:c>
      <x:c r="Y159" s="16" t="str">
        <x:v>GLOBAL-VIS-01</x:v>
      </x:c>
      <x:c r="Z159" s="22" t="str">
        <x:v>SOURCE</x:v>
      </x:c>
      <x:c r="AA159" s="22"/>
      <x:c r="AB159" s="16"/>
      <x:c r="AC159" s="16" t="str">
        <x:v>EP01_대본_전량_001-282(2).md</x:v>
      </x:c>
      <x:c r="AD159" s="22" t="n">
        <x:v>2019</x:v>
      </x:c>
      <x:c r="AE159" s="139" t="str">
        <x:v>NOT_APPLICABLE</x:v>
      </x:c>
      <x:c r="AF159" s="139" t="str">
        <x:v>NONE</x:v>
      </x:c>
    </x:row>
    <x:row r="160" ht="72" customHeight="1">
      <x:c r="A160" s="24" t="str">
        <x:v>159</x:v>
      </x:c>
      <x:c r="B160" s="26" t="str">
        <x:v>B159-159</x:v>
      </x:c>
      <x:c r="C160" s="22" t="n">
        <x:v>1</x:v>
      </x:c>
      <x:c r="D160" s="22" t="str">
        <x:v>1/1</x:v>
      </x:c>
      <x:c r="E160" s="26" t="str">
        <x:v>EP01-S09</x:v>
      </x:c>
      <x:c r="F160" s="20" t="str">
        <x:v>8절 훈련장 진입</x:v>
      </x:c>
      <x:c r="G160" s="20" t="str">
        <x:v>CU 아인</x:v>
      </x:c>
      <x:c r="H160" s="22" t="str"/>
      <x:c r="I160" s="24" t="str">
        <x:v>07-1-3</x:v>
      </x:c>
      <x:c r="J160" s="20" t="str">
        <x:v>훈련장 근접판 냉백</x:v>
      </x:c>
      <x:c r="K160" s="16" t="str">
        <x:v>낫을 고쳐 쥔다</x:v>
      </x:c>
      <x:c r="L160" s="16" t="str">
        <x:v>낫을 고쳐 쥔다</x:v>
      </x:c>
      <x:c r="M160" s="16" t="str"/>
      <x:c r="N160" s="16" t="str"/>
      <x:c r="O160" s="16" t="str">
        <x:v>400px · 여백 좁</x:v>
      </x:c>
      <x:c r="P160" s="16" t="str">
        <x:v>A young woman adjusting her grip on a scythe.</x:v>
      </x:c>
      <x:c r="Q160" s="16" t="str">
        <x:v>TUTORIAL_SETUP</x:v>
      </x:c>
      <x:c r="R160" s="16" t="str"/>
      <x:c r="S160" s="16" t="str">
        <x:v>훈련장·허수아비·문양을 통해 전투 튜토리얼을 준비</x:v>
      </x:c>
      <x:c r="T160" s="16" t="str">
        <x:v>후속 정보가 생기면 행동·배경의 의미를 재검토</x:v>
      </x:c>
      <x:c r="U160" s="16" t="str">
        <x:v>거리 / 박자 / 원</x:v>
      </x:c>
      <x:c r="V160" s="16" t="str">
        <x:v>훈련장 진입·표적·관측창·보스 트리거</x:v>
      </x:c>
      <x:c r="W160" s="16"/>
      <x:c r="X160" s="22" t="str">
        <x:v>NONE</x:v>
      </x:c>
      <x:c r="Y160" s="16" t="str">
        <x:v>아인 왼쪽 견갑·오른쪽 건틀릿 좌우 고정 / GLOBAL-VIS-01</x:v>
      </x:c>
      <x:c r="Z160" s="22" t="str">
        <x:v>SOURCE</x:v>
      </x:c>
      <x:c r="AA160" s="22"/>
      <x:c r="AB160" s="16"/>
      <x:c r="AC160" s="16" t="str">
        <x:v>EP01_대본_전량_001-282(2).md</x:v>
      </x:c>
      <x:c r="AD160" s="22" t="n">
        <x:v>2031</x:v>
      </x:c>
      <x:c r="AE160" s="139" t="str">
        <x:v>NOT_APPLICABLE</x:v>
      </x:c>
      <x:c r="AF160" s="139" t="str">
        <x:v>NONE</x:v>
      </x:c>
    </x:row>
    <x:row r="161" ht="72" customHeight="1">
      <x:c r="A161" s="24" t="str">
        <x:v>160</x:v>
      </x:c>
      <x:c r="B161" s="26" t="str">
        <x:v>B160-160</x:v>
      </x:c>
      <x:c r="C161" s="22" t="n">
        <x:v>1</x:v>
      </x:c>
      <x:c r="D161" s="22" t="str">
        <x:v>1/1</x:v>
      </x:c>
      <x:c r="E161" s="26" t="str">
        <x:v>EP01-S09</x:v>
      </x:c>
      <x:c r="F161" s="20" t="str">
        <x:v>8절 훈련장 진입</x:v>
      </x:c>
      <x:c r="G161" s="20" t="str">
        <x:v>인서트</x:v>
      </x:c>
      <x:c r="H161" s="22" t="str">
        <x:v>🤫</x:v>
      </x:c>
      <x:c r="I161" s="24" t="str">
        <x:v>07-1-1</x:v>
      </x:c>
      <x:c r="J161" s="20" t="str">
        <x:v>훈련장 바닥</x:v>
      </x:c>
      <x:c r="K161" s="16" t="str">
        <x:v>발이 반보 차이로 놓인다</x:v>
      </x:c>
      <x:c r="L161" s="16" t="str">
        <x:v>발이 반보 차이로 놓인다</x:v>
      </x:c>
      <x:c r="M161" s="16" t="str"/>
      <x:c r="N161" s="16" t="str"/>
      <x:c r="O161" s="16" t="str">
        <x:v>340px · 여백 좁</x:v>
      </x:c>
      <x:c r="P161" s="16" t="str">
        <x:v>Close on two pairs of boots. One is half a step behind the other.</x:v>
      </x:c>
      <x:c r="Q161" s="16" t="str">
        <x:v>TUTORIAL_SETUP</x:v>
      </x:c>
      <x:c r="R161" s="16" t="str">
        <x:v>SILENT_ACTING</x:v>
      </x:c>
      <x:c r="S161" s="16" t="str">
        <x:v>훈련장·허수아비·문양을 통해 전투 튜토리얼을 준비</x:v>
      </x:c>
      <x:c r="T161" s="16" t="str">
        <x:v>침묵한 반응의 이유를 후발 정보로 다시 읽음 / 카인의 반보가 습관이 아니라 선택으로 읽힘</x:v>
      </x:c>
      <x:c r="U161" s="16" t="str">
        <x:v>거리 / 보호 / 선택</x:v>
      </x:c>
      <x:c r="V161" s="16" t="str">
        <x:v>훈련장 진입·표적·관측창·보스 트리거</x:v>
      </x:c>
      <x:c r="W161" s="16" t="str">
        <x:v>EXTERNAL + MAIN SYMBOL: 카인의 반보</x:v>
      </x:c>
      <x:c r="X161" s="22" t="str">
        <x:v>EXPANSION</x:v>
      </x:c>
      <x:c r="Y161" s="16" t="str">
        <x:v>대사 금지 또는 응답 없는 침묵 유지 / 카인 반보 뒤 / 두 사람 발 프레임 포함 / GLOBAL-VIS-01</x:v>
      </x:c>
      <x:c r="Z161" s="22" t="str">
        <x:v>SOURCE</x:v>
      </x:c>
      <x:c r="AA161" s="22"/>
      <x:c r="AB161" s="16"/>
      <x:c r="AC161" s="16" t="str">
        <x:v>EP01_대본_전량_001-282(2).md</x:v>
      </x:c>
      <x:c r="AD161" s="22" t="n">
        <x:v>2043</x:v>
      </x:c>
      <x:c r="AE161" s="139" t="str">
        <x:v>PRIVATE_TRUTH</x:v>
      </x:c>
      <x:c r="AF161" s="139" t="str">
        <x:v>OPTIONAL_EXTENSION</x:v>
      </x:c>
    </x:row>
    <x:row r="162" ht="72" customHeight="1">
      <x:c r="A162" s="24" t="str">
        <x:v>161</x:v>
      </x:c>
      <x:c r="B162" s="26" t="str">
        <x:v>B161-161</x:v>
      </x:c>
      <x:c r="C162" s="22" t="n">
        <x:v>1</x:v>
      </x:c>
      <x:c r="D162" s="22" t="str">
        <x:v>1/1</x:v>
      </x:c>
      <x:c r="E162" s="26" t="str">
        <x:v>EP01-S09</x:v>
      </x:c>
      <x:c r="F162" s="20" t="str">
        <x:v>8절 훈련장 진입</x:v>
      </x:c>
      <x:c r="G162" s="20" t="str">
        <x:v>MS</x:v>
      </x:c>
      <x:c r="H162" s="22" t="str"/>
      <x:c r="I162" s="24" t="str">
        <x:v>07-1-3</x:v>
      </x:c>
      <x:c r="J162" s="20" t="str">
        <x:v>훈련장 근접판 냉백</x:v>
      </x:c>
      <x:c r="K162" s="16" t="str">
        <x:v>카인이 대검을 내린다</x:v>
      </x:c>
      <x:c r="L162" s="16" t="str">
        <x:v>카인이 대검을 내린다</x:v>
      </x:c>
      <x:c r="M162" s="16" t="str"/>
      <x:c r="N162" s="16" t="str"/>
      <x:c r="O162" s="16" t="str">
        <x:v>430px · 여백 좁</x:v>
      </x:c>
      <x:c r="P162" s="16" t="str">
        <x:v>A large man lowering a greatsword.</x:v>
      </x:c>
      <x:c r="Q162" s="16" t="str">
        <x:v>TUTORIAL_SETUP</x:v>
      </x:c>
      <x:c r="R162" s="16" t="str"/>
      <x:c r="S162" s="16" t="str">
        <x:v>훈련장·허수아비·문양을 통해 전투 튜토리얼을 준비</x:v>
      </x:c>
      <x:c r="T162" s="16" t="str">
        <x:v>후속 정보가 생기면 행동·배경의 의미를 재검토</x:v>
      </x:c>
      <x:c r="U162" s="16" t="str">
        <x:v>선택 / 대가 / 침묵</x:v>
      </x:c>
      <x:c r="V162" s="16" t="str">
        <x:v>훈련장 진입·표적·관측창·보스 트리거</x:v>
      </x:c>
      <x:c r="W162" s="16"/>
      <x:c r="X162" s="22" t="str">
        <x:v>NONE</x:v>
      </x:c>
      <x:c r="Y162" s="16" t="str">
        <x:v>GLOBAL-VIS-01</x:v>
      </x:c>
      <x:c r="Z162" s="22" t="str">
        <x:v>SOURCE</x:v>
      </x:c>
      <x:c r="AA162" s="22"/>
      <x:c r="AB162" s="16"/>
      <x:c r="AC162" s="16" t="str">
        <x:v>EP01_대본_전량_001-282(2).md</x:v>
      </x:c>
      <x:c r="AD162" s="22" t="n">
        <x:v>2055</x:v>
      </x:c>
      <x:c r="AE162" s="139" t="str">
        <x:v>NOT_APPLICABLE</x:v>
      </x:c>
      <x:c r="AF162" s="139" t="str">
        <x:v>NONE</x:v>
      </x:c>
    </x:row>
    <x:row r="163" ht="72" customHeight="1">
      <x:c r="A163" s="24" t="str">
        <x:v>162</x:v>
      </x:c>
      <x:c r="B163" s="26" t="str">
        <x:v>B162-162</x:v>
      </x:c>
      <x:c r="C163" s="22" t="n">
        <x:v>1</x:v>
      </x:c>
      <x:c r="D163" s="22" t="str">
        <x:v>1/1</x:v>
      </x:c>
      <x:c r="E163" s="26" t="str">
        <x:v>EP01-S09</x:v>
      </x:c>
      <x:c r="F163" s="20" t="str">
        <x:v>8절 훈련장 진입</x:v>
      </x:c>
      <x:c r="G163" s="20" t="str">
        <x:v>WIDE</x:v>
      </x:c>
      <x:c r="H163" s="22" t="str">
        <x:v>🤫🎭</x:v>
      </x:c>
      <x:c r="I163" s="24" t="str">
        <x:v>07-1</x:v>
      </x:c>
      <x:c r="J163" s="20" t="str">
        <x:v>훈련장 냉백</x:v>
      </x:c>
      <x:c r="K163" s="16" t="str">
        <x:v>두 사람과 허수아비. 간격이 프레임 가운데에 비어 있다</x:v>
      </x:c>
      <x:c r="L163" s="16" t="str">
        <x:v>두 사람과 허수아비. 간격이 프레임 가운데에 비어 있다</x:v>
      </x:c>
      <x:c r="M163" s="16" t="str"/>
      <x:c r="N163" s="16" t="str"/>
      <x:c r="O163" s="16" t="str">
        <x:v>470px · 여백 넓</x:v>
      </x:c>
      <x:c r="P163" s="16" t="str">
        <x:v>Two figures and a dummy. The gap between them occupies the center of the frame.</x:v>
      </x:c>
      <x:c r="Q163" s="16" t="str">
        <x:v>TUTORIAL_SETUP</x:v>
      </x:c>
      <x:c r="R163" s="16" t="str">
        <x:v>SILENT_ACTING / HUMAN_BEAT</x:v>
      </x:c>
      <x:c r="S163" s="16" t="str">
        <x:v>훈련장·허수아비·문양을 통해 전투 튜토리얼을 준비</x:v>
      </x:c>
      <x:c r="T163" s="16" t="str">
        <x:v>침묵한 반응의 이유를 후발 정보로 다시 읽음</x:v>
      </x:c>
      <x:c r="U163" s="16" t="str">
        <x:v>선택 / 대가 / 침묵</x:v>
      </x:c>
      <x:c r="V163" s="16" t="str">
        <x:v>훈련장 진입·표적·관측창·보스 트리거</x:v>
      </x:c>
      <x:c r="W163" s="16"/>
      <x:c r="X163" s="22" t="str">
        <x:v>NONE</x:v>
      </x:c>
      <x:c r="Y163" s="16" t="str">
        <x:v>대사 금지 또는 응답 없는 침묵 유지 / GLOBAL-VIS-01</x:v>
      </x:c>
      <x:c r="Z163" s="22" t="str">
        <x:v>SOURCE</x:v>
      </x:c>
      <x:c r="AA163" s="22"/>
      <x:c r="AB163" s="16"/>
      <x:c r="AC163" s="16" t="str">
        <x:v>EP01_대본_전량_001-282(2).md</x:v>
      </x:c>
      <x:c r="AD163" s="22" t="n">
        <x:v>2067</x:v>
      </x:c>
      <x:c r="AE163" s="139" t="str">
        <x:v>NOT_APPLICABLE</x:v>
      </x:c>
      <x:c r="AF163" s="139" t="str">
        <x:v>NONE</x:v>
      </x:c>
    </x:row>
    <x:row r="164" ht="72" customHeight="1">
      <x:c r="A164" s="24" t="str">
        <x:v>163</x:v>
      </x:c>
      <x:c r="B164" s="26" t="str">
        <x:v>B163-163</x:v>
      </x:c>
      <x:c r="C164" s="22" t="n">
        <x:v>1</x:v>
      </x:c>
      <x:c r="D164" s="22" t="str">
        <x:v>1/1</x:v>
      </x:c>
      <x:c r="E164" s="26" t="str">
        <x:v>EP01-S09</x:v>
      </x:c>
      <x:c r="F164" s="20" t="str">
        <x:v>8절 훈련장 진입</x:v>
      </x:c>
      <x:c r="G164" s="20" t="str">
        <x:v>CU 관측창</x:v>
      </x:c>
      <x:c r="H164" s="22" t="str"/>
      <x:c r="I164" s="24" t="str">
        <x:v>07-1-3</x:v>
      </x:c>
      <x:c r="J164" s="20" t="str">
        <x:v>훈련장 근접판 냉백</x:v>
      </x:c>
      <x:c r="K164" s="16" t="str">
        <x:v>마태오. 담배를 옮겨 문다</x:v>
      </x:c>
      <x:c r="L164" s="16" t="str">
        <x:v>마태오. 담배를 옮겨 문다</x:v>
      </x:c>
      <x:c r="M164" s="16" t="str"/>
      <x:c r="N164" s="16" t="str"/>
      <x:c r="O164" s="16" t="str">
        <x:v>400px · 여백 중</x:v>
      </x:c>
      <x:c r="P164" s="16" t="str">
        <x:v>An older man behind thick observation glass, shifting his cigarette.</x:v>
      </x:c>
      <x:c r="Q164" s="16" t="str">
        <x:v>TUTORIAL_SETUP</x:v>
      </x:c>
      <x:c r="R164" s="16" t="str"/>
      <x:c r="S164" s="16" t="str">
        <x:v>훈련장·허수아비·문양을 통해 전투 튜토리얼을 준비</x:v>
      </x:c>
      <x:c r="T164" s="16" t="str">
        <x:v>후속 정보가 생기면 행동·배경의 의미를 재검토</x:v>
      </x:c>
      <x:c r="U164" s="16" t="str">
        <x:v>선택 / 대가 / 침묵</x:v>
      </x:c>
      <x:c r="V164" s="16" t="str">
        <x:v>훈련장 진입·표적·관측창·보스 트리거</x:v>
      </x:c>
      <x:c r="W164" s="16"/>
      <x:c r="X164" s="22" t="str">
        <x:v>NONE</x:v>
      </x:c>
      <x:c r="Y164" s="16" t="str">
        <x:v>GLOBAL-VIS-01</x:v>
      </x:c>
      <x:c r="Z164" s="22" t="str">
        <x:v>SOURCE</x:v>
      </x:c>
      <x:c r="AA164" s="22"/>
      <x:c r="AB164" s="16"/>
      <x:c r="AC164" s="16" t="str">
        <x:v>EP01_대본_전량_001-282(2).md</x:v>
      </x:c>
      <x:c r="AD164" s="22" t="n">
        <x:v>2079</x:v>
      </x:c>
      <x:c r="AE164" s="139" t="str">
        <x:v>NOT_APPLICABLE</x:v>
      </x:c>
      <x:c r="AF164" s="139" t="str">
        <x:v>NONE</x:v>
      </x:c>
    </x:row>
    <x:row r="165" ht="72" customHeight="1">
      <x:c r="A165" s="24" t="str">
        <x:v>164</x:v>
      </x:c>
      <x:c r="B165" s="26" t="str">
        <x:v>B164-164</x:v>
      </x:c>
      <x:c r="C165" s="22" t="n">
        <x:v>1</x:v>
      </x:c>
      <x:c r="D165" s="22" t="str">
        <x:v>1/1</x:v>
      </x:c>
      <x:c r="E165" s="26" t="str">
        <x:v>EP01-S09</x:v>
      </x:c>
      <x:c r="F165" s="20" t="str">
        <x:v>8절 훈련장 진입</x:v>
      </x:c>
      <x:c r="G165" s="20" t="str">
        <x:v>CU 아인</x:v>
      </x:c>
      <x:c r="H165" s="22" t="str"/>
      <x:c r="I165" s="24" t="str">
        <x:v>07-1-3</x:v>
      </x:c>
      <x:c r="J165" s="20" t="str">
        <x:v>훈련장 근접판 냉백</x:v>
      </x:c>
      <x:c r="K165" s="16" t="str">
        <x:v>눈이 좁아진다</x:v>
      </x:c>
      <x:c r="L165" s="16" t="str">
        <x:v>눈이 좁아진다</x:v>
      </x:c>
      <x:c r="M165" s="16" t="str"/>
      <x:c r="N165" s="16" t="str"/>
      <x:c r="O165" s="16" t="str">
        <x:v>400px · 여백 좁</x:v>
      </x:c>
      <x:c r="P165" s="16" t="str">
        <x:v>A young woman's eyes narrowing.</x:v>
      </x:c>
      <x:c r="Q165" s="16" t="str">
        <x:v>TUTORIAL_SETUP</x:v>
      </x:c>
      <x:c r="R165" s="16" t="str"/>
      <x:c r="S165" s="16" t="str">
        <x:v>훈련장·허수아비·문양을 통해 전투 튜토리얼을 준비</x:v>
      </x:c>
      <x:c r="T165" s="16" t="str">
        <x:v>후속 정보가 생기면 행동·배경의 의미를 재검토</x:v>
      </x:c>
      <x:c r="U165" s="16" t="str">
        <x:v>선택 / 대가 / 침묵</x:v>
      </x:c>
      <x:c r="V165" s="16" t="str">
        <x:v>훈련장 진입·표적·관측창·보스 트리거</x:v>
      </x:c>
      <x:c r="W165" s="16"/>
      <x:c r="X165" s="22" t="str">
        <x:v>NONE</x:v>
      </x:c>
      <x:c r="Y165" s="16" t="str">
        <x:v>아인 왼쪽 견갑·오른쪽 건틀릿 좌우 고정 / GLOBAL-VIS-01</x:v>
      </x:c>
      <x:c r="Z165" s="22" t="str">
        <x:v>SOURCE</x:v>
      </x:c>
      <x:c r="AA165" s="22"/>
      <x:c r="AB165" s="16"/>
      <x:c r="AC165" s="16" t="str">
        <x:v>EP01_대본_전량_001-282(2).md</x:v>
      </x:c>
      <x:c r="AD165" s="22" t="n">
        <x:v>2091</x:v>
      </x:c>
      <x:c r="AE165" s="139" t="str">
        <x:v>NOT_APPLICABLE</x:v>
      </x:c>
      <x:c r="AF165" s="139" t="str">
        <x:v>NONE</x:v>
      </x:c>
    </x:row>
    <x:row r="166" ht="72" customHeight="1">
      <x:c r="A166" s="24" t="str">
        <x:v>165</x:v>
      </x:c>
      <x:c r="B166" s="26" t="str">
        <x:v>B165-165</x:v>
      </x:c>
      <x:c r="C166" s="22" t="n">
        <x:v>1</x:v>
      </x:c>
      <x:c r="D166" s="22" t="str">
        <x:v>1/1</x:v>
      </x:c>
      <x:c r="E166" s="26" t="str">
        <x:v>EP01-S09</x:v>
      </x:c>
      <x:c r="F166" s="20" t="str">
        <x:v>8절 훈련장 진입</x:v>
      </x:c>
      <x:c r="G166" s="20" t="str">
        <x:v>WIDE</x:v>
      </x:c>
      <x:c r="H166" s="22" t="str">
        <x:v>⭐</x:v>
      </x:c>
      <x:c r="I166" s="24" t="str">
        <x:v>07-1</x:v>
      </x:c>
      <x:c r="J166" s="20" t="str">
        <x:v>훈련장 냉백</x:v>
      </x:c>
      <x:c r="K166" s="16" t="str">
        <x:v>카인이 대검을 들어올린다</x:v>
      </x:c>
      <x:c r="L166" s="16" t="str">
        <x:v>카인이 대검을 들어올린다</x:v>
      </x:c>
      <x:c r="M166" s="16" t="str"/>
      <x:c r="N166" s="16" t="str">
        <x:v>우웅—</x:v>
      </x:c>
      <x:c r="O166" s="16" t="str">
        <x:v>560px · 여백 극</x:v>
      </x:c>
      <x:c r="P166" s="16" t="str">
        <x:v>A large man raising a greatsword overhead in a vast empty hall.</x:v>
      </x:c>
      <x:c r="Q166" s="16" t="str">
        <x:v>TUTORIAL_SETUP</x:v>
      </x:c>
      <x:c r="R166" s="16" t="str">
        <x:v>SIGNATURE</x:v>
      </x:c>
      <x:c r="S166" s="16" t="str">
        <x:v>훈련장·허수아비·문양을 통해 전투 튜토리얼을 준비</x:v>
      </x:c>
      <x:c r="T166" s="16" t="str">
        <x:v>시그니처 상징의 기원</x:v>
      </x:c>
      <x:c r="U166" s="16" t="str">
        <x:v>선택 / 대가 / 침묵</x:v>
      </x:c>
      <x:c r="V166" s="16" t="str">
        <x:v>훈련장 진입·표적·관측창·보스 트리거</x:v>
      </x:c>
      <x:c r="W166" s="16"/>
      <x:c r="X166" s="22" t="str">
        <x:v>NONE</x:v>
      </x:c>
      <x:c r="Y166" s="16" t="str">
        <x:v>GLOBAL-VIS-01</x:v>
      </x:c>
      <x:c r="Z166" s="22" t="str">
        <x:v>SOURCE</x:v>
      </x:c>
      <x:c r="AA166" s="22"/>
      <x:c r="AB166" s="16"/>
      <x:c r="AC166" s="16" t="str">
        <x:v>EP01_대본_전량_001-282(2).md</x:v>
      </x:c>
      <x:c r="AD166" s="22" t="n">
        <x:v>2103</x:v>
      </x:c>
      <x:c r="AE166" s="139" t="str">
        <x:v>NOT_APPLICABLE</x:v>
      </x:c>
      <x:c r="AF166" s="139" t="str">
        <x:v>NONE</x:v>
      </x:c>
    </x:row>
    <x:row r="167" ht="72" customHeight="1">
      <x:c r="A167" s="24" t="str">
        <x:v>166</x:v>
      </x:c>
      <x:c r="B167" s="26" t="str">
        <x:v>B166-166</x:v>
      </x:c>
      <x:c r="C167" s="22" t="n">
        <x:v>1</x:v>
      </x:c>
      <x:c r="D167" s="22" t="str">
        <x:v>1/1</x:v>
      </x:c>
      <x:c r="E167" s="26" t="str">
        <x:v>EP01-S10</x:v>
      </x:c>
      <x:c r="F167" s="20" t="str">
        <x:v>9절 원 전반</x:v>
      </x:c>
      <x:c r="G167" s="20" t="str">
        <x:v>MS</x:v>
      </x:c>
      <x:c r="H167" s="22" t="str"/>
      <x:c r="I167" s="24" t="str">
        <x:v>07-1-3</x:v>
      </x:c>
      <x:c r="J167" s="20" t="str">
        <x:v>훈련장 근접판 냉백</x:v>
      </x:c>
      <x:c r="K167" s="16" t="str">
        <x:v>카인의 대검이 내려온다</x:v>
      </x:c>
      <x:c r="L167" s="16" t="str">
        <x:v>카인의 대검이 내려온다</x:v>
      </x:c>
      <x:c r="M167" s="16" t="str"/>
      <x:c r="N167" s="16" t="str">
        <x:v>부웅—</x:v>
      </x:c>
      <x:c r="O167" s="16" t="str">
        <x:v>430px · 여백 좁</x:v>
      </x:c>
      <x:c r="P167" s="16" t="str">
        <x:v>A greatsword swinging down.</x:v>
      </x:c>
      <x:c r="Q167" s="16" t="str">
        <x:v>WEAPON_LANGUAGE</x:v>
      </x:c>
      <x:c r="R167" s="16" t="str"/>
      <x:c r="S167" s="16" t="str">
        <x:v>낫과 대검의 무게·궤적·거리 차이를 행동으로 학습</x:v>
      </x:c>
      <x:c r="T167" s="16" t="str">
        <x:v>후속 정보가 생기면 행동·배경의 의미를 재검토</x:v>
      </x:c>
      <x:c r="U167" s="16" t="str">
        <x:v>선택 / 대가 / 침묵</x:v>
      </x:c>
      <x:c r="V167" s="16" t="str">
        <x:v>공격 궤적·무게중심·콤보 거리 튜토리얼</x:v>
      </x:c>
      <x:c r="W167" s="16"/>
      <x:c r="X167" s="22" t="str">
        <x:v>NONE</x:v>
      </x:c>
      <x:c r="Y167" s="16" t="str">
        <x:v>GLOBAL-VIS-01</x:v>
      </x:c>
      <x:c r="Z167" s="22" t="str">
        <x:v>SOURCE</x:v>
      </x:c>
      <x:c r="AA167" s="22"/>
      <x:c r="AB167" s="16"/>
      <x:c r="AC167" s="16" t="str">
        <x:v>EP01_대본_전량_001-282(2).md</x:v>
      </x:c>
      <x:c r="AD167" s="22" t="n">
        <x:v>2122</x:v>
      </x:c>
      <x:c r="AE167" s="139" t="str">
        <x:v>NOT_APPLICABLE</x:v>
      </x:c>
      <x:c r="AF167" s="139" t="str">
        <x:v>NONE</x:v>
      </x:c>
    </x:row>
    <x:row r="168" ht="72" customHeight="1">
      <x:c r="A168" s="24" t="str">
        <x:v>167</x:v>
      </x:c>
      <x:c r="B168" s="26" t="str">
        <x:v>B167-167</x:v>
      </x:c>
      <x:c r="C168" s="22" t="n">
        <x:v>1</x:v>
      </x:c>
      <x:c r="D168" s="22" t="str">
        <x:v>1/1</x:v>
      </x:c>
      <x:c r="E168" s="26" t="str">
        <x:v>EP01-S10</x:v>
      </x:c>
      <x:c r="F168" s="20" t="str">
        <x:v>9절 원 전반</x:v>
      </x:c>
      <x:c r="G168" s="20" t="str">
        <x:v>극세로 블리드</x:v>
      </x:c>
      <x:c r="H168" s="22" t="str"/>
      <x:c r="I168" s="24" t="str">
        <x:v>07-1</x:v>
      </x:c>
      <x:c r="J168" s="20" t="str">
        <x:v>훈련장 냉백</x:v>
      </x:c>
      <x:c r="K168" s="16" t="str">
        <x:v>콰앙! 허수아비 몸통에 정통</x:v>
      </x:c>
      <x:c r="L168" s="16" t="str">
        <x:v>콰앙! 허수아비 몸통에 정통</x:v>
      </x:c>
      <x:c r="M168" s="16" t="str"/>
      <x:c r="N168" s="16" t="str">
        <x:v>콰앙!!</x:v>
      </x:c>
      <x:c r="O168" s="16" t="str">
        <x:v>1,500px · 여백 좁</x:v>
      </x:c>
      <x:c r="P168" s="16" t="str">
        <x:v>A massive impact on a straw dummy's torso. Straw exploding outward.</x:v>
      </x:c>
      <x:c r="Q168" s="16" t="str">
        <x:v>WEAPON_LANGUAGE</x:v>
      </x:c>
      <x:c r="R168" s="16" t="str"/>
      <x:c r="S168" s="16" t="str">
        <x:v>낫과 대검의 무게·궤적·거리 차이를 행동으로 학습</x:v>
      </x:c>
      <x:c r="T168" s="16" t="str">
        <x:v>후속 정보가 생기면 행동·배경의 의미를 재검토</x:v>
      </x:c>
      <x:c r="U168" s="16" t="str">
        <x:v>선택 / 대가 / 침묵</x:v>
      </x:c>
      <x:c r="V168" s="16" t="str">
        <x:v>공격 궤적·무게중심·콤보 거리 튜토리얼</x:v>
      </x:c>
      <x:c r="W168" s="16"/>
      <x:c r="X168" s="22" t="str">
        <x:v>NONE</x:v>
      </x:c>
      <x:c r="Y168" s="16" t="str">
        <x:v>GLOBAL-VIS-01</x:v>
      </x:c>
      <x:c r="Z168" s="22" t="str">
        <x:v>SOURCE</x:v>
      </x:c>
      <x:c r="AA168" s="22"/>
      <x:c r="AB168" s="16"/>
      <x:c r="AC168" s="16" t="str">
        <x:v>EP01_대본_전량_001-282(2).md</x:v>
      </x:c>
      <x:c r="AD168" s="22" t="n">
        <x:v>2135</x:v>
      </x:c>
      <x:c r="AE168" s="139" t="str">
        <x:v>NOT_APPLICABLE</x:v>
      </x:c>
      <x:c r="AF168" s="139" t="str">
        <x:v>NONE</x:v>
      </x:c>
    </x:row>
    <x:row r="169" ht="72" customHeight="1">
      <x:c r="A169" s="24" t="str">
        <x:v>168</x:v>
      </x:c>
      <x:c r="B169" s="26" t="str">
        <x:v>B168-168</x:v>
      </x:c>
      <x:c r="C169" s="22" t="n">
        <x:v>1</x:v>
      </x:c>
      <x:c r="D169" s="22" t="str">
        <x:v>1/1</x:v>
      </x:c>
      <x:c r="E169" s="26" t="str">
        <x:v>EP01-S10</x:v>
      </x:c>
      <x:c r="F169" s="20" t="str">
        <x:v>9절 원 전반</x:v>
      </x:c>
      <x:c r="G169" s="20" t="str">
        <x:v>WIDE</x:v>
      </x:c>
      <x:c r="H169" s="22" t="str"/>
      <x:c r="I169" s="24" t="str">
        <x:v>07-1</x:v>
      </x:c>
      <x:c r="J169" s="20" t="str">
        <x:v>훈련장 냉백</x:v>
      </x:c>
      <x:c r="K169" s="16" t="str">
        <x:v>짚이 사방으로 흩어진다</x:v>
      </x:c>
      <x:c r="L169" s="16" t="str">
        <x:v>짚이 사방으로 흩어진다</x:v>
      </x:c>
      <x:c r="M169" s="16" t="str"/>
      <x:c r="N169" s="16" t="str"/>
      <x:c r="O169" s="16" t="str">
        <x:v>470px · 여백 좁</x:v>
      </x:c>
      <x:c r="P169" s="16" t="str">
        <x:v>Straw scattering across a concrete floor.</x:v>
      </x:c>
      <x:c r="Q169" s="16" t="str">
        <x:v>WEAPON_LANGUAGE</x:v>
      </x:c>
      <x:c r="R169" s="16" t="str"/>
      <x:c r="S169" s="16" t="str">
        <x:v>낫과 대검의 무게·궤적·거리 차이를 행동으로 학습</x:v>
      </x:c>
      <x:c r="T169" s="16" t="str">
        <x:v>후속 정보가 생기면 행동·배경의 의미를 재검토</x:v>
      </x:c>
      <x:c r="U169" s="16" t="str">
        <x:v>선택 / 대가 / 침묵</x:v>
      </x:c>
      <x:c r="V169" s="16" t="str">
        <x:v>공격 궤적·무게중심·콤보 거리 튜토리얼</x:v>
      </x:c>
      <x:c r="W169" s="16"/>
      <x:c r="X169" s="22" t="str">
        <x:v>NONE</x:v>
      </x:c>
      <x:c r="Y169" s="16" t="str">
        <x:v>GLOBAL-VIS-01</x:v>
      </x:c>
      <x:c r="Z169" s="22" t="str">
        <x:v>SOURCE</x:v>
      </x:c>
      <x:c r="AA169" s="22"/>
      <x:c r="AB169" s="16"/>
      <x:c r="AC169" s="16" t="str">
        <x:v>EP01_대본_전량_001-282(2).md</x:v>
      </x:c>
      <x:c r="AD169" s="22" t="n">
        <x:v>2148</x:v>
      </x:c>
      <x:c r="AE169" s="139" t="str">
        <x:v>NOT_APPLICABLE</x:v>
      </x:c>
      <x:c r="AF169" s="139" t="str">
        <x:v>NONE</x:v>
      </x:c>
    </x:row>
    <x:row r="170" ht="72" customHeight="1">
      <x:c r="A170" s="24" t="str">
        <x:v>169</x:v>
      </x:c>
      <x:c r="B170" s="26" t="str">
        <x:v>B169-169</x:v>
      </x:c>
      <x:c r="C170" s="22" t="n">
        <x:v>1</x:v>
      </x:c>
      <x:c r="D170" s="22" t="str">
        <x:v>1/1</x:v>
      </x:c>
      <x:c r="E170" s="26" t="str">
        <x:v>EP01-S10</x:v>
      </x:c>
      <x:c r="F170" s="20" t="str">
        <x:v>9절 원 전반</x:v>
      </x:c>
      <x:c r="G170" s="20" t="str">
        <x:v>CU 카인</x:v>
      </x:c>
      <x:c r="H170" s="22" t="str"/>
      <x:c r="I170" s="24" t="str">
        <x:v>07-1-3</x:v>
      </x:c>
      <x:c r="J170" s="20" t="str">
        <x:v>훈련장 근접판 냉백</x:v>
      </x:c>
      <x:c r="K170" s="16" t="str">
        <x:v>씩 웃는다</x:v>
      </x:c>
      <x:c r="L170" s="16" t="str">
        <x:v>씩 웃는다</x:v>
      </x:c>
      <x:c r="M170" s="16" t="str">
        <x:v>대사 · 카인: 「뭐야, 이거 별거—」</x:v>
      </x:c>
      <x:c r="N170" s="16" t="str"/>
      <x:c r="O170" s="16" t="str">
        <x:v>400px · 여백 중</x:v>
      </x:c>
      <x:c r="P170" s="16" t="str">
        <x:v>A large man grinning.</x:v>
      </x:c>
      <x:c r="Q170" s="16" t="str">
        <x:v>WEAPON_LANGUAGE</x:v>
      </x:c>
      <x:c r="R170" s="16" t="str"/>
      <x:c r="S170" s="16" t="str">
        <x:v>낫과 대검의 무게·궤적·거리 차이를 행동으로 학습</x:v>
      </x:c>
      <x:c r="T170" s="16" t="str">
        <x:v>후속 정보가 생기면 행동·배경의 의미를 재검토</x:v>
      </x:c>
      <x:c r="U170" s="16" t="str">
        <x:v>선택 / 대가 / 침묵</x:v>
      </x:c>
      <x:c r="V170" s="16" t="str">
        <x:v>공격 궤적·무게중심·콤보 거리 튜토리얼</x:v>
      </x:c>
      <x:c r="W170" s="16"/>
      <x:c r="X170" s="22" t="str">
        <x:v>NONE</x:v>
      </x:c>
      <x:c r="Y170" s="16" t="str">
        <x:v>GLOBAL-VIS-01</x:v>
      </x:c>
      <x:c r="Z170" s="22" t="str">
        <x:v>SOURCE</x:v>
      </x:c>
      <x:c r="AA170" s="22"/>
      <x:c r="AB170" s="16"/>
      <x:c r="AC170" s="16" t="str">
        <x:v>EP01_대본_전량_001-282(2).md</x:v>
      </x:c>
      <x:c r="AD170" s="22" t="n">
        <x:v>2160</x:v>
      </x:c>
      <x:c r="AE170" s="139" t="str">
        <x:v>NOT_APPLICABLE</x:v>
      </x:c>
      <x:c r="AF170" s="139" t="str">
        <x:v>NONE</x:v>
      </x:c>
    </x:row>
    <x:row r="171" ht="72" customHeight="1">
      <x:c r="A171" s="24" t="str">
        <x:v>170</x:v>
      </x:c>
      <x:c r="B171" s="26" t="str">
        <x:v>B170-170</x:v>
      </x:c>
      <x:c r="C171" s="22" t="n">
        <x:v>1</x:v>
      </x:c>
      <x:c r="D171" s="22" t="str">
        <x:v>1/1</x:v>
      </x:c>
      <x:c r="E171" s="26" t="str">
        <x:v>EP01-S10</x:v>
      </x:c>
      <x:c r="F171" s="20" t="str">
        <x:v>9절 원 전반</x:v>
      </x:c>
      <x:c r="G171" s="20" t="str">
        <x:v>인서트</x:v>
      </x:c>
      <x:c r="H171" s="22" t="str"/>
      <x:c r="I171" s="24" t="str">
        <x:v>07-1-3</x:v>
      </x:c>
      <x:c r="J171" s="20" t="str">
        <x:v>훈련장 근접판 냉백</x:v>
      </x:c>
      <x:c r="K171" s="16" t="str">
        <x:v>흩어진 짚 사이. 철사슬이 팽팽해진다</x:v>
      </x:c>
      <x:c r="L171" s="16" t="str">
        <x:v>흩어진 짚 사이. 철사슬이 팽팽해진다</x:v>
      </x:c>
      <x:c r="M171" s="16" t="str"/>
      <x:c r="N171" s="16" t="str"/>
      <x:c r="O171" s="16" t="str">
        <x:v>380px · 여백 좁</x:v>
      </x:c>
      <x:c r="P171" s="16" t="str">
        <x:v>Between scattered straw, a chain pulling taut.</x:v>
      </x:c>
      <x:c r="Q171" s="16" t="str">
        <x:v>WEAPON_LANGUAGE</x:v>
      </x:c>
      <x:c r="R171" s="16" t="str"/>
      <x:c r="S171" s="16" t="str">
        <x:v>낫과 대검의 무게·궤적·거리 차이를 행동으로 학습</x:v>
      </x:c>
      <x:c r="T171" s="16" t="str">
        <x:v>후속 정보가 생기면 행동·배경의 의미를 재검토</x:v>
      </x:c>
      <x:c r="U171" s="16" t="str">
        <x:v>선택 / 대가 / 침묵</x:v>
      </x:c>
      <x:c r="V171" s="16" t="str">
        <x:v>공격 궤적·무게중심·콤보 거리 튜토리얼</x:v>
      </x:c>
      <x:c r="W171" s="16"/>
      <x:c r="X171" s="22" t="str">
        <x:v>NONE</x:v>
      </x:c>
      <x:c r="Y171" s="16" t="str">
        <x:v>GLOBAL-VIS-01</x:v>
      </x:c>
      <x:c r="Z171" s="22" t="str">
        <x:v>SOURCE</x:v>
      </x:c>
      <x:c r="AA171" s="22"/>
      <x:c r="AB171" s="16"/>
      <x:c r="AC171" s="16" t="str">
        <x:v>EP01_대본_전량_001-282(2).md</x:v>
      </x:c>
      <x:c r="AD171" s="22" t="n">
        <x:v>2173</x:v>
      </x:c>
      <x:c r="AE171" s="139" t="str">
        <x:v>NOT_APPLICABLE</x:v>
      </x:c>
      <x:c r="AF171" s="139" t="str">
        <x:v>NONE</x:v>
      </x:c>
    </x:row>
    <x:row r="172" ht="72" customHeight="1">
      <x:c r="A172" s="24" t="str">
        <x:v>171</x:v>
      </x:c>
      <x:c r="B172" s="26" t="str">
        <x:v>B171-171</x:v>
      </x:c>
      <x:c r="C172" s="22" t="n">
        <x:v>1</x:v>
      </x:c>
      <x:c r="D172" s="22" t="str">
        <x:v>1/1</x:v>
      </x:c>
      <x:c r="E172" s="26" t="str">
        <x:v>EP01-S10</x:v>
      </x:c>
      <x:c r="F172" s="20" t="str">
        <x:v>9절 원 전반</x:v>
      </x:c>
      <x:c r="G172" s="20" t="str">
        <x:v>ECU</x:v>
      </x:c>
      <x:c r="H172" s="22" t="str"/>
      <x:c r="I172" s="24" t="str">
        <x:v>07-1-3</x:v>
      </x:c>
      <x:c r="J172" s="20" t="str">
        <x:v>훈련장 근접판 냉백</x:v>
      </x:c>
      <x:c r="K172" s="16" t="str">
        <x:v>사슬 고리 하나가 뒤틀린다</x:v>
      </x:c>
      <x:c r="L172" s="16" t="str">
        <x:v>사슬 고리 하나가 뒤틀린다</x:v>
      </x:c>
      <x:c r="M172" s="16" t="str"/>
      <x:c r="N172" s="16" t="str">
        <x:v>끼긱</x:v>
      </x:c>
      <x:c r="O172" s="16" t="str">
        <x:v>360px · 여백 좁</x:v>
      </x:c>
      <x:c r="P172" s="16" t="str">
        <x:v>Extreme close on a chain link twisting.</x:v>
      </x:c>
      <x:c r="Q172" s="16" t="str">
        <x:v>WEAPON_LANGUAGE</x:v>
      </x:c>
      <x:c r="R172" s="16" t="str"/>
      <x:c r="S172" s="16" t="str">
        <x:v>낫과 대검의 무게·궤적·거리 차이를 행동으로 학습</x:v>
      </x:c>
      <x:c r="T172" s="16" t="str">
        <x:v>후속 정보가 생기면 행동·배경의 의미를 재검토</x:v>
      </x:c>
      <x:c r="U172" s="16" t="str">
        <x:v>선택 / 대가 / 침묵</x:v>
      </x:c>
      <x:c r="V172" s="16" t="str">
        <x:v>공격 궤적·무게중심·콤보 거리 튜토리얼</x:v>
      </x:c>
      <x:c r="W172" s="16"/>
      <x:c r="X172" s="22" t="str">
        <x:v>NONE</x:v>
      </x:c>
      <x:c r="Y172" s="16" t="str">
        <x:v>GLOBAL-VIS-01</x:v>
      </x:c>
      <x:c r="Z172" s="22" t="str">
        <x:v>SOURCE</x:v>
      </x:c>
      <x:c r="AA172" s="22"/>
      <x:c r="AB172" s="16"/>
      <x:c r="AC172" s="16" t="str">
        <x:v>EP01_대본_전량_001-282(2).md</x:v>
      </x:c>
      <x:c r="AD172" s="22" t="n">
        <x:v>2185</x:v>
      </x:c>
      <x:c r="AE172" s="139" t="str">
        <x:v>NOT_APPLICABLE</x:v>
      </x:c>
      <x:c r="AF172" s="139" t="str">
        <x:v>NONE</x:v>
      </x:c>
    </x:row>
    <x:row r="173" ht="72" customHeight="1">
      <x:c r="A173" s="24" t="str">
        <x:v>172</x:v>
      </x:c>
      <x:c r="B173" s="26" t="str">
        <x:v>B172-172</x:v>
      </x:c>
      <x:c r="C173" s="22" t="n">
        <x:v>1</x:v>
      </x:c>
      <x:c r="D173" s="22" t="str">
        <x:v>1/1</x:v>
      </x:c>
      <x:c r="E173" s="26" t="str">
        <x:v>EP01-S10</x:v>
      </x:c>
      <x:c r="F173" s="20" t="str">
        <x:v>9절 원 전반</x:v>
      </x:c>
      <x:c r="G173" s="20" t="str">
        <x:v>인서트</x:v>
      </x:c>
      <x:c r="H173" s="22" t="str">
        <x:v>🎣</x:v>
      </x:c>
      <x:c r="I173" s="24" t="str">
        <x:v>07-1-1</x:v>
      </x:c>
      <x:c r="J173" s="20" t="str">
        <x:v>훈련장 바닥</x:v>
      </x:c>
      <x:c r="K173" s="16" t="str">
        <x:v>바닥 문양에 선이 하나 들어온다</x:v>
      </x:c>
      <x:c r="L173" s="16" t="str">
        <x:v>바닥 문양에 선이 하나 들어온다</x:v>
      </x:c>
      <x:c r="M173" s="16" t="str"/>
      <x:c r="N173" s="16" t="str"/>
      <x:c r="O173" s="16" t="str">
        <x:v>380px · 여백 좁</x:v>
      </x:c>
      <x:c r="P173" s="16" t="str">
        <x:v>A line of light entering the floor sigil.</x:v>
      </x:c>
      <x:c r="Q173" s="16" t="str">
        <x:v>WEAPON_LANGUAGE</x:v>
      </x:c>
      <x:c r="R173" s="16" t="str">
        <x:v>FORESHADOW</x:v>
      </x:c>
      <x:c r="S173" s="16" t="str">
        <x:v>낫과 대검의 무게·궤적·거리 차이를 행동으로 학습</x:v>
      </x:c>
      <x:c r="T173" s="16" t="str">
        <x:v>처음에는 배경·노이즈로 보인 정보의 의미가 바뀜</x:v>
      </x:c>
      <x:c r="U173" s="16" t="str">
        <x:v>호출 / 배양 / 응답</x:v>
      </x:c>
      <x:c r="V173" s="16" t="str">
        <x:v>공격 궤적·무게중심·콤보 거리 튜토리얼</x:v>
      </x:c>
      <x:c r="W173" s="16"/>
      <x:c r="X173" s="22" t="str">
        <x:v>NONE</x:v>
      </x:c>
      <x:c r="Y173" s="16" t="str">
        <x:v>복선 강조 금지 / GLOBAL-VIS-01</x:v>
      </x:c>
      <x:c r="Z173" s="22" t="str">
        <x:v>SOURCE</x:v>
      </x:c>
      <x:c r="AA173" s="22"/>
      <x:c r="AB173" s="16"/>
      <x:c r="AC173" s="16" t="str">
        <x:v>EP01_대본_전량_001-282(2).md</x:v>
      </x:c>
      <x:c r="AD173" s="22" t="n">
        <x:v>2198</x:v>
      </x:c>
      <x:c r="AE173" s="139" t="str">
        <x:v>NOT_APPLICABLE</x:v>
      </x:c>
      <x:c r="AF173" s="139" t="str">
        <x:v>NONE</x:v>
      </x:c>
    </x:row>
    <x:row r="174" ht="72" customHeight="1">
      <x:c r="A174" s="24" t="str">
        <x:v>173</x:v>
      </x:c>
      <x:c r="B174" s="26" t="str">
        <x:v>B173-173</x:v>
      </x:c>
      <x:c r="C174" s="22" t="n">
        <x:v>1</x:v>
      </x:c>
      <x:c r="D174" s="22" t="str">
        <x:v>1/1</x:v>
      </x:c>
      <x:c r="E174" s="26" t="str">
        <x:v>EP01-S10</x:v>
      </x:c>
      <x:c r="F174" s="20" t="str">
        <x:v>9절 원 전반</x:v>
      </x:c>
      <x:c r="G174" s="20" t="str">
        <x:v>CU 아인</x:v>
      </x:c>
      <x:c r="H174" s="22" t="str"/>
      <x:c r="I174" s="24" t="str">
        <x:v>07-1-3</x:v>
      </x:c>
      <x:c r="J174" s="20" t="str">
        <x:v>훈련장 근접판 냉백</x:v>
      </x:c>
      <x:c r="K174" s="16" t="str">
        <x:v>고개를 든다</x:v>
      </x:c>
      <x:c r="L174" s="16" t="str">
        <x:v>고개를 든다</x:v>
      </x:c>
      <x:c r="M174" s="16" t="str"/>
      <x:c r="N174" s="16" t="str"/>
      <x:c r="O174" s="16" t="str">
        <x:v>400px · 여백 좁</x:v>
      </x:c>
      <x:c r="P174" s="16" t="str">
        <x:v>A young woman raising her head.</x:v>
      </x:c>
      <x:c r="Q174" s="16" t="str">
        <x:v>WEAPON_LANGUAGE</x:v>
      </x:c>
      <x:c r="R174" s="16" t="str"/>
      <x:c r="S174" s="16" t="str">
        <x:v>낫과 대검의 무게·궤적·거리 차이를 행동으로 학습</x:v>
      </x:c>
      <x:c r="T174" s="16" t="str">
        <x:v>후속 정보가 생기면 행동·배경의 의미를 재검토</x:v>
      </x:c>
      <x:c r="U174" s="16" t="str">
        <x:v>선택 / 대가 / 침묵</x:v>
      </x:c>
      <x:c r="V174" s="16" t="str">
        <x:v>공격 궤적·무게중심·콤보 거리 튜토리얼</x:v>
      </x:c>
      <x:c r="W174" s="16"/>
      <x:c r="X174" s="22" t="str">
        <x:v>NONE</x:v>
      </x:c>
      <x:c r="Y174" s="16" t="str">
        <x:v>아인 왼쪽 견갑·오른쪽 건틀릿 좌우 고정 / GLOBAL-VIS-01</x:v>
      </x:c>
      <x:c r="Z174" s="22" t="str">
        <x:v>SOURCE</x:v>
      </x:c>
      <x:c r="AA174" s="22"/>
      <x:c r="AB174" s="16"/>
      <x:c r="AC174" s="16" t="str">
        <x:v>EP01_대본_전량_001-282(2).md</x:v>
      </x:c>
      <x:c r="AD174" s="22" t="n">
        <x:v>2210</x:v>
      </x:c>
      <x:c r="AE174" s="139" t="str">
        <x:v>NOT_APPLICABLE</x:v>
      </x:c>
      <x:c r="AF174" s="139" t="str">
        <x:v>NONE</x:v>
      </x:c>
    </x:row>
    <x:row r="175" ht="72" customHeight="1">
      <x:c r="A175" s="24" t="str">
        <x:v>174</x:v>
      </x:c>
      <x:c r="B175" s="26" t="str">
        <x:v>B174-174</x:v>
      </x:c>
      <x:c r="C175" s="22" t="n">
        <x:v>1</x:v>
      </x:c>
      <x:c r="D175" s="22" t="str">
        <x:v>1/1</x:v>
      </x:c>
      <x:c r="E175" s="26" t="str">
        <x:v>EP01-S10</x:v>
      </x:c>
      <x:c r="F175" s="20" t="str">
        <x:v>9절 원 전반</x:v>
      </x:c>
      <x:c r="G175" s="20" t="str">
        <x:v>인서트</x:v>
      </x:c>
      <x:c r="H175" s="22" t="str"/>
      <x:c r="I175" s="24" t="str">
        <x:v>07-1-1</x:v>
      </x:c>
      <x:c r="J175" s="20" t="str">
        <x:v>훈련장 바닥</x:v>
      </x:c>
      <x:c r="K175" s="16" t="str">
        <x:v>문양의 선이 퍼진다</x:v>
      </x:c>
      <x:c r="L175" s="16" t="str">
        <x:v>문양의 선이 퍼진다</x:v>
      </x:c>
      <x:c r="M175" s="16" t="str"/>
      <x:c r="N175" s="16" t="str">
        <x:v>지— 직</x:v>
      </x:c>
      <x:c r="O175" s="16" t="str">
        <x:v>380px · 여백 좁</x:v>
      </x:c>
      <x:c r="P175" s="16" t="str">
        <x:v>The sigil lines spreading across the floor.</x:v>
      </x:c>
      <x:c r="Q175" s="16" t="str">
        <x:v>WEAPON_LANGUAGE</x:v>
      </x:c>
      <x:c r="R175" s="16" t="str"/>
      <x:c r="S175" s="16" t="str">
        <x:v>낫과 대검의 무게·궤적·거리 차이를 행동으로 학습</x:v>
      </x:c>
      <x:c r="T175" s="16" t="str">
        <x:v>후속 정보가 생기면 행동·배경의 의미를 재검토</x:v>
      </x:c>
      <x:c r="U175" s="16" t="str">
        <x:v>호출 / 배양 / 응답</x:v>
      </x:c>
      <x:c r="V175" s="16" t="str">
        <x:v>공격 궤적·무게중심·콤보 거리 튜토리얼</x:v>
      </x:c>
      <x:c r="W175" s="16"/>
      <x:c r="X175" s="22" t="str">
        <x:v>NONE</x:v>
      </x:c>
      <x:c r="Y175" s="16" t="str">
        <x:v>GLOBAL-VIS-01</x:v>
      </x:c>
      <x:c r="Z175" s="22" t="str">
        <x:v>SOURCE</x:v>
      </x:c>
      <x:c r="AA175" s="22"/>
      <x:c r="AB175" s="16"/>
      <x:c r="AC175" s="16" t="str">
        <x:v>EP01_대본_전량_001-282(2).md</x:v>
      </x:c>
      <x:c r="AD175" s="22" t="n">
        <x:v>2222</x:v>
      </x:c>
      <x:c r="AE175" s="139" t="str">
        <x:v>NOT_APPLICABLE</x:v>
      </x:c>
      <x:c r="AF175" s="139" t="str">
        <x:v>NONE</x:v>
      </x:c>
    </x:row>
    <x:row r="176" ht="72" customHeight="1">
      <x:c r="A176" s="24" t="str">
        <x:v>175</x:v>
      </x:c>
      <x:c r="B176" s="26" t="str">
        <x:v>B175-175</x:v>
      </x:c>
      <x:c r="C176" s="22" t="n">
        <x:v>1</x:v>
      </x:c>
      <x:c r="D176" s="22" t="str">
        <x:v>1/1</x:v>
      </x:c>
      <x:c r="E176" s="26" t="str">
        <x:v>EP01-S10</x:v>
      </x:c>
      <x:c r="F176" s="20" t="str">
        <x:v>9절 원 전반</x:v>
      </x:c>
      <x:c r="G176" s="20" t="str">
        <x:v>ECU</x:v>
      </x:c>
      <x:c r="H176" s="22" t="str"/>
      <x:c r="I176" s="24" t="str">
        <x:v>07-1-3</x:v>
      </x:c>
      <x:c r="J176" s="20" t="str">
        <x:v>훈련장 근접판 냉백</x:v>
      </x:c>
      <x:c r="K176" s="16" t="str">
        <x:v>허수아비 몸통 안쪽. 룬이 발광하기 시작한다</x:v>
      </x:c>
      <x:c r="L176" s="16" t="str">
        <x:v>허수아비 몸통 안쪽. 룬이 발광하기 시작한다</x:v>
      </x:c>
      <x:c r="M176" s="16" t="str"/>
      <x:c r="N176" s="16" t="str"/>
      <x:c r="O176" s="16" t="str">
        <x:v>400px · 여백 중</x:v>
      </x:c>
      <x:c r="P176" s="16" t="str">
        <x:v>Deep inside the dummy's torso, runes beginning to glow amber.</x:v>
      </x:c>
      <x:c r="Q176" s="16" t="str">
        <x:v>WEAPON_LANGUAGE</x:v>
      </x:c>
      <x:c r="R176" s="16" t="str"/>
      <x:c r="S176" s="16" t="str">
        <x:v>낫과 대검의 무게·궤적·거리 차이를 행동으로 학습</x:v>
      </x:c>
      <x:c r="T176" s="16" t="str">
        <x:v>후속 정보가 생기면 행동·배경의 의미를 재검토</x:v>
      </x:c>
      <x:c r="U176" s="16" t="str">
        <x:v>거리 / 보호 / 선택</x:v>
      </x:c>
      <x:c r="V176" s="16" t="str">
        <x:v>공격 궤적·무게중심·콤보 거리 튜토리얼</x:v>
      </x:c>
      <x:c r="W176" s="16"/>
      <x:c r="X176" s="22" t="str">
        <x:v>NONE</x:v>
      </x:c>
      <x:c r="Y176" s="16" t="str">
        <x:v>GLOBAL-VIS-01</x:v>
      </x:c>
      <x:c r="Z176" s="22" t="str">
        <x:v>SOURCE</x:v>
      </x:c>
      <x:c r="AA176" s="22"/>
      <x:c r="AB176" s="16"/>
      <x:c r="AC176" s="16" t="str">
        <x:v>EP01_대본_전량_001-282(2).md</x:v>
      </x:c>
      <x:c r="AD176" s="22" t="n">
        <x:v>2235</x:v>
      </x:c>
      <x:c r="AE176" s="139" t="str">
        <x:v>NOT_APPLICABLE</x:v>
      </x:c>
      <x:c r="AF176" s="139" t="str">
        <x:v>NONE</x:v>
      </x:c>
    </x:row>
    <x:row r="177" ht="72" customHeight="1">
      <x:c r="A177" s="24" t="str">
        <x:v>176</x:v>
      </x:c>
      <x:c r="B177" s="26" t="str">
        <x:v>B176-176</x:v>
      </x:c>
      <x:c r="C177" s="22" t="n">
        <x:v>1</x:v>
      </x:c>
      <x:c r="D177" s="22" t="str">
        <x:v>1/1</x:v>
      </x:c>
      <x:c r="E177" s="26" t="str">
        <x:v>EP01-S10</x:v>
      </x:c>
      <x:c r="F177" s="20" t="str">
        <x:v>9절 원 전반</x:v>
      </x:c>
      <x:c r="G177" s="20" t="str">
        <x:v>CU 아인</x:v>
      </x:c>
      <x:c r="H177" s="22" t="str"/>
      <x:c r="I177" s="24" t="str">
        <x:v>07-1-3</x:v>
      </x:c>
      <x:c r="J177" s="20" t="str">
        <x:v>훈련장 근접판 냉백</x:v>
      </x:c>
      <x:c r="K177" s="16" t="str">
        <x:v>눈이 커진다</x:v>
      </x:c>
      <x:c r="L177" s="16" t="str">
        <x:v>눈이 커진다</x:v>
      </x:c>
      <x:c r="M177" s="16" t="str">
        <x:v>대사 · 아인: 「카인, 물러나!」</x:v>
      </x:c>
      <x:c r="N177" s="16" t="str"/>
      <x:c r="O177" s="16" t="str">
        <x:v>400px · 여백 좁</x:v>
      </x:c>
      <x:c r="P177" s="16" t="str">
        <x:v>A young woman's eyes widening.</x:v>
      </x:c>
      <x:c r="Q177" s="16" t="str">
        <x:v>WEAPON_LANGUAGE</x:v>
      </x:c>
      <x:c r="R177" s="16" t="str"/>
      <x:c r="S177" s="16" t="str">
        <x:v>낫과 대검의 무게·궤적·거리 차이를 행동으로 학습</x:v>
      </x:c>
      <x:c r="T177" s="16" t="str">
        <x:v>후속 정보가 생기면 행동·배경의 의미를 재검토</x:v>
      </x:c>
      <x:c r="U177" s="16" t="str">
        <x:v>선택 / 대가 / 침묵</x:v>
      </x:c>
      <x:c r="V177" s="16" t="str">
        <x:v>공격 궤적·무게중심·콤보 거리 튜토리얼</x:v>
      </x:c>
      <x:c r="W177" s="16"/>
      <x:c r="X177" s="22" t="str">
        <x:v>NONE</x:v>
      </x:c>
      <x:c r="Y177" s="16" t="str">
        <x:v>아인 왼쪽 견갑·오른쪽 건틀릿 좌우 고정 / GLOBAL-VIS-01</x:v>
      </x:c>
      <x:c r="Z177" s="22" t="str">
        <x:v>SOURCE</x:v>
      </x:c>
      <x:c r="AA177" s="22"/>
      <x:c r="AB177" s="16"/>
      <x:c r="AC177" s="16" t="str">
        <x:v>EP01_대본_전량_001-282(2).md</x:v>
      </x:c>
      <x:c r="AD177" s="22" t="n">
        <x:v>2247</x:v>
      </x:c>
      <x:c r="AE177" s="139" t="str">
        <x:v>NOT_APPLICABLE</x:v>
      </x:c>
      <x:c r="AF177" s="139" t="str">
        <x:v>NONE</x:v>
      </x:c>
    </x:row>
    <x:row r="178" ht="72" customHeight="1">
      <x:c r="A178" s="24" t="str">
        <x:v>177</x:v>
      </x:c>
      <x:c r="B178" s="26" t="str">
        <x:v>B177-177</x:v>
      </x:c>
      <x:c r="C178" s="22" t="n">
        <x:v>1</x:v>
      </x:c>
      <x:c r="D178" s="22" t="str">
        <x:v>1/1</x:v>
      </x:c>
      <x:c r="E178" s="26" t="str">
        <x:v>EP01-S10</x:v>
      </x:c>
      <x:c r="F178" s="20" t="str">
        <x:v>9절 원 전반</x:v>
      </x:c>
      <x:c r="G178" s="20" t="str">
        <x:v>MS</x:v>
      </x:c>
      <x:c r="H178" s="22" t="str"/>
      <x:c r="I178" s="24" t="str">
        <x:v>07-1-3</x:v>
      </x:c>
      <x:c r="J178" s="20" t="str">
        <x:v>훈련장 근접판 냉백</x:v>
      </x:c>
      <x:c r="K178" s="16" t="str">
        <x:v>카인이 뒤로 뛴다</x:v>
      </x:c>
      <x:c r="L178" s="16" t="str">
        <x:v>카인이 뒤로 뛴다</x:v>
      </x:c>
      <x:c r="M178" s="16" t="str"/>
      <x:c r="N178" s="16" t="str"/>
      <x:c r="O178" s="16" t="str">
        <x:v>430px · 여백 좁</x:v>
      </x:c>
      <x:c r="P178" s="16" t="str">
        <x:v>A large man leaping backward.</x:v>
      </x:c>
      <x:c r="Q178" s="16" t="str">
        <x:v>WEAPON_LANGUAGE</x:v>
      </x:c>
      <x:c r="R178" s="16" t="str"/>
      <x:c r="S178" s="16" t="str">
        <x:v>낫과 대검의 무게·궤적·거리 차이를 행동으로 학습</x:v>
      </x:c>
      <x:c r="T178" s="16" t="str">
        <x:v>후속 정보가 생기면 행동·배경의 의미를 재검토</x:v>
      </x:c>
      <x:c r="U178" s="16" t="str">
        <x:v>선택 / 대가 / 침묵</x:v>
      </x:c>
      <x:c r="V178" s="16" t="str">
        <x:v>공격 궤적·무게중심·콤보 거리 튜토리얼</x:v>
      </x:c>
      <x:c r="W178" s="16"/>
      <x:c r="X178" s="22" t="str">
        <x:v>NONE</x:v>
      </x:c>
      <x:c r="Y178" s="16" t="str">
        <x:v>GLOBAL-VIS-01</x:v>
      </x:c>
      <x:c r="Z178" s="22" t="str">
        <x:v>SOURCE</x:v>
      </x:c>
      <x:c r="AA178" s="22"/>
      <x:c r="AB178" s="16"/>
      <x:c r="AC178" s="16" t="str">
        <x:v>EP01_대본_전량_001-282(2).md</x:v>
      </x:c>
      <x:c r="AD178" s="22" t="n">
        <x:v>2260</x:v>
      </x:c>
      <x:c r="AE178" s="139" t="str">
        <x:v>NOT_APPLICABLE</x:v>
      </x:c>
      <x:c r="AF178" s="139" t="str">
        <x:v>NONE</x:v>
      </x:c>
    </x:row>
    <x:row r="179" ht="72" customHeight="1">
      <x:c r="A179" s="24" t="str">
        <x:v>178</x:v>
      </x:c>
      <x:c r="B179" s="26" t="str">
        <x:v>B178-178</x:v>
      </x:c>
      <x:c r="C179" s="22" t="n">
        <x:v>1</x:v>
      </x:c>
      <x:c r="D179" s="22" t="str">
        <x:v>1/1</x:v>
      </x:c>
      <x:c r="E179" s="26" t="str">
        <x:v>EP01-S10</x:v>
      </x:c>
      <x:c r="F179" s="20" t="str">
        <x:v>9절 원 전반</x:v>
      </x:c>
      <x:c r="G179" s="20" t="str">
        <x:v>극세로 블리드</x:v>
      </x:c>
      <x:c r="H179" s="22" t="str"/>
      <x:c r="I179" s="24" t="str">
        <x:v>07-1</x:v>
      </x:c>
      <x:c r="J179" s="20" t="str">
        <x:v>훈련장 냉백</x:v>
      </x:c>
      <x:c r="K179" s="16" t="str">
        <x:v>대폭발. 짚이 통째로 날아간다</x:v>
      </x:c>
      <x:c r="L179" s="16" t="str">
        <x:v>대폭발. 짚이 통째로 날아간다</x:v>
      </x:c>
      <x:c r="M179" s="16" t="str"/>
      <x:c r="N179" s="16" t="str">
        <x:v>콰아앙—!!</x:v>
      </x:c>
      <x:c r="O179" s="16" t="str">
        <x:v>1,500px · 여백 좁</x:v>
      </x:c>
      <x:c r="P179" s="16" t="str">
        <x:v>A huge explosion. Straw blasted away entirely.</x:v>
      </x:c>
      <x:c r="Q179" s="16" t="str">
        <x:v>WEAPON_LANGUAGE</x:v>
      </x:c>
      <x:c r="R179" s="16" t="str"/>
      <x:c r="S179" s="16" t="str">
        <x:v>낫과 대검의 무게·궤적·거리 차이를 행동으로 학습</x:v>
      </x:c>
      <x:c r="T179" s="16" t="str">
        <x:v>후속 정보가 생기면 행동·배경의 의미를 재검토</x:v>
      </x:c>
      <x:c r="U179" s="16" t="str">
        <x:v>거리 / 보호 / 선택</x:v>
      </x:c>
      <x:c r="V179" s="16" t="str">
        <x:v>공격 궤적·무게중심·콤보 거리 튜토리얼</x:v>
      </x:c>
      <x:c r="W179" s="16"/>
      <x:c r="X179" s="22" t="str">
        <x:v>NONE</x:v>
      </x:c>
      <x:c r="Y179" s="16" t="str">
        <x:v>GLOBAL-VIS-01</x:v>
      </x:c>
      <x:c r="Z179" s="22" t="str">
        <x:v>SOURCE</x:v>
      </x:c>
      <x:c r="AA179" s="22"/>
      <x:c r="AB179" s="16"/>
      <x:c r="AC179" s="16" t="str">
        <x:v>EP01_대본_전량_001-282(2).md</x:v>
      </x:c>
      <x:c r="AD179" s="22" t="n">
        <x:v>2272</x:v>
      </x:c>
      <x:c r="AE179" s="139" t="str">
        <x:v>NOT_APPLICABLE</x:v>
      </x:c>
      <x:c r="AF179" s="139" t="str">
        <x:v>NONE</x:v>
      </x:c>
    </x:row>
    <x:row r="180" ht="72" customHeight="1">
      <x:c r="A180" s="24" t="str">
        <x:v>179</x:v>
      </x:c>
      <x:c r="B180" s="26" t="str">
        <x:v>B179-179</x:v>
      </x:c>
      <x:c r="C180" s="22" t="n">
        <x:v>1</x:v>
      </x:c>
      <x:c r="D180" s="22" t="str">
        <x:v>1/1</x:v>
      </x:c>
      <x:c r="E180" s="26" t="str">
        <x:v>EP01-S10</x:v>
      </x:c>
      <x:c r="F180" s="20" t="str">
        <x:v>9절 원 전반</x:v>
      </x:c>
      <x:c r="G180" s="20" t="str">
        <x:v>WIDE</x:v>
      </x:c>
      <x:c r="H180" s="22" t="str"/>
      <x:c r="I180" s="24" t="str">
        <x:v>07-1</x:v>
      </x:c>
      <x:c r="J180" s="20" t="str">
        <x:v>훈련장 냉백</x:v>
      </x:c>
      <x:c r="K180" s="16" t="str">
        <x:v>폭풍에 두 사람이 밀린다</x:v>
      </x:c>
      <x:c r="L180" s="16" t="str">
        <x:v>폭풍에 두 사람이 밀린다</x:v>
      </x:c>
      <x:c r="M180" s="16" t="str"/>
      <x:c r="N180" s="16" t="str"/>
      <x:c r="O180" s="16" t="str">
        <x:v>470px · 여백 중</x:v>
      </x:c>
      <x:c r="P180" s="16" t="str">
        <x:v>Two figures pushed back by a blast.</x:v>
      </x:c>
      <x:c r="Q180" s="16" t="str">
        <x:v>WEAPON_LANGUAGE</x:v>
      </x:c>
      <x:c r="R180" s="16" t="str"/>
      <x:c r="S180" s="16" t="str">
        <x:v>낫과 대검의 무게·궤적·거리 차이를 행동으로 학습</x:v>
      </x:c>
      <x:c r="T180" s="16" t="str">
        <x:v>후속 정보가 생기면 행동·배경의 의미를 재검토</x:v>
      </x:c>
      <x:c r="U180" s="16" t="str">
        <x:v>선택 / 대가 / 침묵</x:v>
      </x:c>
      <x:c r="V180" s="16" t="str">
        <x:v>공격 궤적·무게중심·콤보 거리 튜토리얼</x:v>
      </x:c>
      <x:c r="W180" s="16"/>
      <x:c r="X180" s="22" t="str">
        <x:v>NONE</x:v>
      </x:c>
      <x:c r="Y180" s="16" t="str">
        <x:v>GLOBAL-VIS-01</x:v>
      </x:c>
      <x:c r="Z180" s="22" t="str">
        <x:v>SOURCE</x:v>
      </x:c>
      <x:c r="AA180" s="22"/>
      <x:c r="AB180" s="16"/>
      <x:c r="AC180" s="16" t="str">
        <x:v>EP01_대본_전량_001-282(2).md</x:v>
      </x:c>
      <x:c r="AD180" s="22" t="n">
        <x:v>2285</x:v>
      </x:c>
      <x:c r="AE180" s="139" t="str">
        <x:v>NOT_APPLICABLE</x:v>
      </x:c>
      <x:c r="AF180" s="139" t="str">
        <x:v>NONE</x:v>
      </x:c>
    </x:row>
    <x:row r="181" ht="72" customHeight="1">
      <x:c r="A181" s="24" t="str">
        <x:v>180</x:v>
      </x:c>
      <x:c r="B181" s="26" t="str">
        <x:v>B180-180</x:v>
      </x:c>
      <x:c r="C181" s="22" t="n">
        <x:v>1</x:v>
      </x:c>
      <x:c r="D181" s="22" t="str">
        <x:v>1/1</x:v>
      </x:c>
      <x:c r="E181" s="26" t="str">
        <x:v>EP01-S10</x:v>
      </x:c>
      <x:c r="F181" s="20" t="str">
        <x:v>9절 원 전반</x:v>
      </x:c>
      <x:c r="G181" s="20" t="str">
        <x:v>ECU</x:v>
      </x:c>
      <x:c r="H181" s="22" t="str"/>
      <x:c r="I181" s="24" t="str">
        <x:v>07-1-1</x:v>
      </x:c>
      <x:c r="J181" s="20" t="str">
        <x:v>훈련장 바닥</x:v>
      </x:c>
      <x:c r="K181" s="16" t="str">
        <x:v>철사슬이 끊어진다</x:v>
      </x:c>
      <x:c r="L181" s="16" t="str">
        <x:v>철사슬이 끊어진다</x:v>
      </x:c>
      <x:c r="M181" s="16" t="str"/>
      <x:c r="N181" s="16" t="str">
        <x:v>파캉!</x:v>
      </x:c>
      <x:c r="O181" s="16" t="str">
        <x:v>380px · 여백 좁</x:v>
      </x:c>
      <x:c r="P181" s="16" t="str">
        <x:v>A chain snapping.</x:v>
      </x:c>
      <x:c r="Q181" s="16" t="str">
        <x:v>WEAPON_LANGUAGE</x:v>
      </x:c>
      <x:c r="R181" s="16" t="str"/>
      <x:c r="S181" s="16" t="str">
        <x:v>낫과 대검의 무게·궤적·거리 차이를 행동으로 학습</x:v>
      </x:c>
      <x:c r="T181" s="16" t="str">
        <x:v>후속 정보가 생기면 행동·배경의 의미를 재검토</x:v>
      </x:c>
      <x:c r="U181" s="16" t="str">
        <x:v>선택 / 대가 / 침묵</x:v>
      </x:c>
      <x:c r="V181" s="16" t="str">
        <x:v>공격 궤적·무게중심·콤보 거리 튜토리얼</x:v>
      </x:c>
      <x:c r="W181" s="16"/>
      <x:c r="X181" s="22" t="str">
        <x:v>NONE</x:v>
      </x:c>
      <x:c r="Y181" s="16" t="str">
        <x:v>GLOBAL-VIS-01</x:v>
      </x:c>
      <x:c r="Z181" s="22" t="str">
        <x:v>SOURCE</x:v>
      </x:c>
      <x:c r="AA181" s="22"/>
      <x:c r="AB181" s="16"/>
      <x:c r="AC181" s="16" t="str">
        <x:v>EP01_대본_전량_001-282(2).md</x:v>
      </x:c>
      <x:c r="AD181" s="22" t="n">
        <x:v>2297</x:v>
      </x:c>
      <x:c r="AE181" s="139" t="str">
        <x:v>NOT_APPLICABLE</x:v>
      </x:c>
      <x:c r="AF181" s="139" t="str">
        <x:v>NONE</x:v>
      </x:c>
    </x:row>
    <x:row r="182" ht="72" customHeight="1">
      <x:c r="A182" s="24" t="str">
        <x:v>181</x:v>
      </x:c>
      <x:c r="B182" s="26" t="str">
        <x:v>B181-181</x:v>
      </x:c>
      <x:c r="C182" s="22" t="n">
        <x:v>1</x:v>
      </x:c>
      <x:c r="D182" s="22" t="str">
        <x:v>1/1</x:v>
      </x:c>
      <x:c r="E182" s="26" t="str">
        <x:v>EP01-S10</x:v>
      </x:c>
      <x:c r="F182" s="20" t="str">
        <x:v>9절 원 전반</x:v>
      </x:c>
      <x:c r="G182" s="20" t="str">
        <x:v>인서트</x:v>
      </x:c>
      <x:c r="H182" s="22" t="str"/>
      <x:c r="I182" s="24" t="str">
        <x:v>07-1-1</x:v>
      </x:c>
      <x:c r="J182" s="20" t="str">
        <x:v>훈련장 바닥</x:v>
      </x:c>
      <x:c r="K182" s="16" t="str">
        <x:v>사슬 조각이 바닥에 떨어진다</x:v>
      </x:c>
      <x:c r="L182" s="16" t="str">
        <x:v>사슬 조각이 바닥에 떨어진다</x:v>
      </x:c>
      <x:c r="M182" s="16" t="str"/>
      <x:c r="N182" s="16" t="str">
        <x:v>챙그랑</x:v>
      </x:c>
      <x:c r="O182" s="16" t="str">
        <x:v>380px · 여백 중</x:v>
      </x:c>
      <x:c r="P182" s="16" t="str">
        <x:v>Chain fragments falling to a concrete floor.</x:v>
      </x:c>
      <x:c r="Q182" s="16" t="str">
        <x:v>WEAPON_LANGUAGE</x:v>
      </x:c>
      <x:c r="R182" s="16" t="str"/>
      <x:c r="S182" s="16" t="str">
        <x:v>낫과 대검의 무게·궤적·거리 차이를 행동으로 학습</x:v>
      </x:c>
      <x:c r="T182" s="16" t="str">
        <x:v>후속 정보가 생기면 행동·배경의 의미를 재검토</x:v>
      </x:c>
      <x:c r="U182" s="16" t="str">
        <x:v>선택 / 대가 / 침묵</x:v>
      </x:c>
      <x:c r="V182" s="16" t="str">
        <x:v>공격 궤적·무게중심·콤보 거리 튜토리얼</x:v>
      </x:c>
      <x:c r="W182" s="16"/>
      <x:c r="X182" s="22" t="str">
        <x:v>NONE</x:v>
      </x:c>
      <x:c r="Y182" s="16" t="str">
        <x:v>GLOBAL-VIS-01</x:v>
      </x:c>
      <x:c r="Z182" s="22" t="str">
        <x:v>SOURCE</x:v>
      </x:c>
      <x:c r="AA182" s="22"/>
      <x:c r="AB182" s="16"/>
      <x:c r="AC182" s="16" t="str">
        <x:v>EP01_대본_전량_001-282(2).md</x:v>
      </x:c>
      <x:c r="AD182" s="22" t="n">
        <x:v>2310</x:v>
      </x:c>
      <x:c r="AE182" s="139" t="str">
        <x:v>NOT_APPLICABLE</x:v>
      </x:c>
      <x:c r="AF182" s="139" t="str">
        <x:v>NONE</x:v>
      </x:c>
    </x:row>
    <x:row r="183" ht="72" customHeight="1">
      <x:c r="A183" s="24" t="str">
        <x:v>182</x:v>
      </x:c>
      <x:c r="B183" s="26" t="str">
        <x:v>B182-182</x:v>
      </x:c>
      <x:c r="C183" s="22" t="n">
        <x:v>1</x:v>
      </x:c>
      <x:c r="D183" s="22" t="str">
        <x:v>1/1</x:v>
      </x:c>
      <x:c r="E183" s="26" t="str">
        <x:v>EP01-S10</x:v>
      </x:c>
      <x:c r="F183" s="20" t="str">
        <x:v>9절 원 전반</x:v>
      </x:c>
      <x:c r="G183" s="20" t="str">
        <x:v>WIDE</x:v>
      </x:c>
      <x:c r="H183" s="22" t="str"/>
      <x:c r="I183" s="24" t="str">
        <x:v>07-1-3</x:v>
      </x:c>
      <x:c r="J183" s="20" t="str">
        <x:v>훈련장 근접판 냉백</x:v>
      </x:c>
      <x:c r="K183" s="16" t="str">
        <x:v>연기. 실루엣이 서 있다</x:v>
      </x:c>
      <x:c r="L183" s="16" t="str">
        <x:v>연기. 실루엣이 서 있다</x:v>
      </x:c>
      <x:c r="M183" s="16" t="str"/>
      <x:c r="N183" s="16" t="str"/>
      <x:c r="O183" s="16" t="str">
        <x:v>470px · 여백 넓</x:v>
      </x:c>
      <x:c r="P183" s="16" t="str">
        <x:v>Smoke. A silhouette standing within it.</x:v>
      </x:c>
      <x:c r="Q183" s="16" t="str">
        <x:v>WEAPON_LANGUAGE</x:v>
      </x:c>
      <x:c r="R183" s="16" t="str"/>
      <x:c r="S183" s="16" t="str">
        <x:v>낫과 대검의 무게·궤적·거리 차이를 행동으로 학습</x:v>
      </x:c>
      <x:c r="T183" s="16" t="str">
        <x:v>후속 정보가 생기면 행동·배경의 의미를 재검토</x:v>
      </x:c>
      <x:c r="U183" s="16" t="str">
        <x:v>선택 / 대가 / 침묵</x:v>
      </x:c>
      <x:c r="V183" s="16" t="str">
        <x:v>공격 궤적·무게중심·콤보 거리 튜토리얼</x:v>
      </x:c>
      <x:c r="W183" s="16"/>
      <x:c r="X183" s="22" t="str">
        <x:v>NONE</x:v>
      </x:c>
      <x:c r="Y183" s="16" t="str">
        <x:v>GLOBAL-VIS-01</x:v>
      </x:c>
      <x:c r="Z183" s="22" t="str">
        <x:v>SOURCE</x:v>
      </x:c>
      <x:c r="AA183" s="22"/>
      <x:c r="AB183" s="16"/>
      <x:c r="AC183" s="16" t="str">
        <x:v>EP01_대본_전량_001-282(2).md</x:v>
      </x:c>
      <x:c r="AD183" s="22" t="n">
        <x:v>2323</x:v>
      </x:c>
      <x:c r="AE183" s="139" t="str">
        <x:v>NOT_APPLICABLE</x:v>
      </x:c>
      <x:c r="AF183" s="139" t="str">
        <x:v>NONE</x:v>
      </x:c>
    </x:row>
    <x:row r="184" ht="72" customHeight="1">
      <x:c r="A184" s="24" t="str">
        <x:v>183</x:v>
      </x:c>
      <x:c r="B184" s="26" t="str">
        <x:v>B183-183</x:v>
      </x:c>
      <x:c r="C184" s="22" t="n">
        <x:v>1</x:v>
      </x:c>
      <x:c r="D184" s="22" t="str">
        <x:v>1/1</x:v>
      </x:c>
      <x:c r="E184" s="26" t="str">
        <x:v>EP01-S10</x:v>
      </x:c>
      <x:c r="F184" s="20" t="str">
        <x:v>9절 원 전반</x:v>
      </x:c>
      <x:c r="G184" s="20" t="str">
        <x:v>ECU</x:v>
      </x:c>
      <x:c r="H184" s="22" t="str"/>
      <x:c r="I184" s="24" t="str">
        <x:v>07-2-3</x:v>
      </x:c>
      <x:c r="J184" s="20" t="str">
        <x:v>훈련장 근접판 엠버</x:v>
      </x:c>
      <x:c r="K184" s="16" t="str">
        <x:v>연기 속. 붉은 안광 두 점</x:v>
      </x:c>
      <x:c r="L184" s="16" t="str">
        <x:v>연기 속. 붉은 안광 두 점</x:v>
      </x:c>
      <x:c r="M184" s="16" t="str"/>
      <x:c r="N184" s="16" t="str"/>
      <x:c r="O184" s="16" t="str">
        <x:v>400px · 여백 중</x:v>
      </x:c>
      <x:c r="P184" s="16" t="str">
        <x:v>Two red points of light in the smoke.</x:v>
      </x:c>
      <x:c r="Q184" s="16" t="str">
        <x:v>WEAPON_LANGUAGE</x:v>
      </x:c>
      <x:c r="R184" s="16" t="str"/>
      <x:c r="S184" s="16" t="str">
        <x:v>낫과 대검의 무게·궤적·거리 차이를 행동으로 학습</x:v>
      </x:c>
      <x:c r="T184" s="16" t="str">
        <x:v>후속 정보가 생기면 행동·배경의 의미를 재검토</x:v>
      </x:c>
      <x:c r="U184" s="16" t="str">
        <x:v>선택 / 대가 / 침묵</x:v>
      </x:c>
      <x:c r="V184" s="16" t="str">
        <x:v>공격 궤적·무게중심·콤보 거리 튜토리얼</x:v>
      </x:c>
      <x:c r="W184" s="16"/>
      <x:c r="X184" s="22" t="str">
        <x:v>NONE</x:v>
      </x:c>
      <x:c r="Y184" s="16" t="str">
        <x:v>GLOBAL-VIS-01</x:v>
      </x:c>
      <x:c r="Z184" s="22" t="str">
        <x:v>SOURCE</x:v>
      </x:c>
      <x:c r="AA184" s="22"/>
      <x:c r="AB184" s="16"/>
      <x:c r="AC184" s="16" t="str">
        <x:v>EP01_대본_전량_001-282(2).md</x:v>
      </x:c>
      <x:c r="AD184" s="22" t="n">
        <x:v>2335</x:v>
      </x:c>
      <x:c r="AE184" s="139" t="str">
        <x:v>NOT_APPLICABLE</x:v>
      </x:c>
      <x:c r="AF184" s="139" t="str">
        <x:v>NONE</x:v>
      </x:c>
    </x:row>
    <x:row r="185" ht="72" customHeight="1">
      <x:c r="A185" s="24" t="str">
        <x:v>184</x:v>
      </x:c>
      <x:c r="B185" s="26" t="str">
        <x:v>B184-184</x:v>
      </x:c>
      <x:c r="C185" s="22" t="n">
        <x:v>1</x:v>
      </x:c>
      <x:c r="D185" s="22" t="str">
        <x:v>1/1</x:v>
      </x:c>
      <x:c r="E185" s="26" t="str">
        <x:v>EP01-S10</x:v>
      </x:c>
      <x:c r="F185" s="20" t="str">
        <x:v>9절 원 전반</x:v>
      </x:c>
      <x:c r="G185" s="20" t="str">
        <x:v>MS</x:v>
      </x:c>
      <x:c r="H185" s="22" t="str"/>
      <x:c r="I185" s="24" t="str">
        <x:v>07-2-3</x:v>
      </x:c>
      <x:c r="J185" s="20" t="str">
        <x:v>훈련장 근접판 엠버</x:v>
      </x:c>
      <x:c r="K185" s="16" t="str">
        <x:v>연기가 걷힌다</x:v>
      </x:c>
      <x:c r="L185" s="16" t="str">
        <x:v>연기가 걷힌다</x:v>
      </x:c>
      <x:c r="M185" s="16" t="str"/>
      <x:c r="N185" s="16" t="str">
        <x:v>그드득</x:v>
      </x:c>
      <x:c r="O185" s="16" t="str">
        <x:v>430px · 여백 좁</x:v>
      </x:c>
      <x:c r="P185" s="16" t="str">
        <x:v>Smoke clearing.</x:v>
      </x:c>
      <x:c r="Q185" s="16" t="str">
        <x:v>WEAPON_LANGUAGE</x:v>
      </x:c>
      <x:c r="R185" s="16" t="str"/>
      <x:c r="S185" s="16" t="str">
        <x:v>낫과 대검의 무게·궤적·거리 차이를 행동으로 학습</x:v>
      </x:c>
      <x:c r="T185" s="16" t="str">
        <x:v>후속 정보가 생기면 행동·배경의 의미를 재검토</x:v>
      </x:c>
      <x:c r="U185" s="16" t="str">
        <x:v>선택 / 대가 / 침묵</x:v>
      </x:c>
      <x:c r="V185" s="16" t="str">
        <x:v>공격 궤적·무게중심·콤보 거리 튜토리얼</x:v>
      </x:c>
      <x:c r="W185" s="16"/>
      <x:c r="X185" s="22" t="str">
        <x:v>NONE</x:v>
      </x:c>
      <x:c r="Y185" s="16" t="str">
        <x:v>GLOBAL-VIS-01</x:v>
      </x:c>
      <x:c r="Z185" s="22" t="str">
        <x:v>SOURCE</x:v>
      </x:c>
      <x:c r="AA185" s="22"/>
      <x:c r="AB185" s="16"/>
      <x:c r="AC185" s="16" t="str">
        <x:v>EP01_대본_전량_001-282(2).md</x:v>
      </x:c>
      <x:c r="AD185" s="22" t="n">
        <x:v>2347</x:v>
      </x:c>
      <x:c r="AE185" s="139" t="str">
        <x:v>NOT_APPLICABLE</x:v>
      </x:c>
      <x:c r="AF185" s="139" t="str">
        <x:v>NONE</x:v>
      </x:c>
    </x:row>
    <x:row r="186" ht="72" customHeight="1">
      <x:c r="A186" s="24" t="str">
        <x:v>185</x:v>
      </x:c>
      <x:c r="B186" s="26" t="str">
        <x:v>B185-185</x:v>
      </x:c>
      <x:c r="C186" s="22" t="n">
        <x:v>1</x:v>
      </x:c>
      <x:c r="D186" s="22" t="str">
        <x:v>1/1</x:v>
      </x:c>
      <x:c r="E186" s="26" t="str">
        <x:v>EP01-S10</x:v>
      </x:c>
      <x:c r="F186" s="20" t="str">
        <x:v>9절 원 전반</x:v>
      </x:c>
      <x:c r="G186" s="20" t="str">
        <x:v>CU</x:v>
      </x:c>
      <x:c r="H186" s="22" t="str"/>
      <x:c r="I186" s="24" t="str">
        <x:v>07-2-3</x:v>
      </x:c>
      <x:c r="J186" s="20" t="str">
        <x:v>훈련장 근접판 엠버</x:v>
      </x:c>
      <x:c r="K186" s="16" t="str">
        <x:v>짚 아래에서 드러나는 철사 골격</x:v>
      </x:c>
      <x:c r="L186" s="16" t="str">
        <x:v>짚 아래에서 드러나는 철사 골격</x:v>
      </x:c>
      <x:c r="M186" s="16" t="str"/>
      <x:c r="N186" s="16" t="str"/>
      <x:c r="O186" s="16" t="str">
        <x:v>400px · 여백 좁</x:v>
      </x:c>
      <x:c r="P186" s="16" t="str">
        <x:v>A wire skeleton revealed beneath the straw.</x:v>
      </x:c>
      <x:c r="Q186" s="16" t="str">
        <x:v>WEAPON_LANGUAGE</x:v>
      </x:c>
      <x:c r="R186" s="16" t="str"/>
      <x:c r="S186" s="16" t="str">
        <x:v>낫과 대검의 무게·궤적·거리 차이를 행동으로 학습</x:v>
      </x:c>
      <x:c r="T186" s="16" t="str">
        <x:v>후속 정보가 생기면 행동·배경의 의미를 재검토</x:v>
      </x:c>
      <x:c r="U186" s="16" t="str">
        <x:v>선택 / 대가 / 침묵</x:v>
      </x:c>
      <x:c r="V186" s="16" t="str">
        <x:v>공격 궤적·무게중심·콤보 거리 튜토리얼</x:v>
      </x:c>
      <x:c r="W186" s="16"/>
      <x:c r="X186" s="22" t="str">
        <x:v>NONE</x:v>
      </x:c>
      <x:c r="Y186" s="16" t="str">
        <x:v>GLOBAL-VIS-01</x:v>
      </x:c>
      <x:c r="Z186" s="22" t="str">
        <x:v>SOURCE</x:v>
      </x:c>
      <x:c r="AA186" s="22"/>
      <x:c r="AB186" s="16"/>
      <x:c r="AC186" s="16" t="str">
        <x:v>EP01_대본_전량_001-282(2).md</x:v>
      </x:c>
      <x:c r="AD186" s="22" t="n">
        <x:v>2360</x:v>
      </x:c>
      <x:c r="AE186" s="139" t="str">
        <x:v>NOT_APPLICABLE</x:v>
      </x:c>
      <x:c r="AF186" s="139" t="str">
        <x:v>NONE</x:v>
      </x:c>
    </x:row>
    <x:row r="187" ht="72" customHeight="1">
      <x:c r="A187" s="24" t="str">
        <x:v>186</x:v>
      </x:c>
      <x:c r="B187" s="26" t="str">
        <x:v>B186-186</x:v>
      </x:c>
      <x:c r="C187" s="22" t="n">
        <x:v>1</x:v>
      </x:c>
      <x:c r="D187" s="22" t="str">
        <x:v>1/1</x:v>
      </x:c>
      <x:c r="E187" s="26" t="str">
        <x:v>EP01-S10</x:v>
      </x:c>
      <x:c r="F187" s="20" t="str">
        <x:v>9절 원 전반</x:v>
      </x:c>
      <x:c r="G187" s="20" t="str">
        <x:v>CU</x:v>
      </x:c>
      <x:c r="H187" s="22" t="str"/>
      <x:c r="I187" s="24" t="str">
        <x:v>07-2-3</x:v>
      </x:c>
      <x:c r="J187" s="20" t="str">
        <x:v>훈련장 근접판 엠버</x:v>
      </x:c>
      <x:c r="K187" s="16" t="str">
        <x:v>관절이 돌아간다</x:v>
      </x:c>
      <x:c r="L187" s="16" t="str">
        <x:v>관절이 돌아간다</x:v>
      </x:c>
      <x:c r="M187" s="16" t="str"/>
      <x:c r="N187" s="16" t="str">
        <x:v>그드득</x:v>
      </x:c>
      <x:c r="O187" s="16" t="str">
        <x:v>400px · 여백 중</x:v>
      </x:c>
      <x:c r="P187" s="16" t="str">
        <x:v>A joint rotating with a grinding motion.</x:v>
      </x:c>
      <x:c r="Q187" s="16" t="str">
        <x:v>WEAPON_LANGUAGE</x:v>
      </x:c>
      <x:c r="R187" s="16" t="str"/>
      <x:c r="S187" s="16" t="str">
        <x:v>낫과 대검의 무게·궤적·거리 차이를 행동으로 학습</x:v>
      </x:c>
      <x:c r="T187" s="16" t="str">
        <x:v>후속 정보가 생기면 행동·배경의 의미를 재검토</x:v>
      </x:c>
      <x:c r="U187" s="16" t="str">
        <x:v>선택 / 대가 / 침묵</x:v>
      </x:c>
      <x:c r="V187" s="16" t="str">
        <x:v>공격 궤적·무게중심·콤보 거리 튜토리얼</x:v>
      </x:c>
      <x:c r="W187" s="16"/>
      <x:c r="X187" s="22" t="str">
        <x:v>NONE</x:v>
      </x:c>
      <x:c r="Y187" s="16" t="str">
        <x:v>GLOBAL-VIS-01</x:v>
      </x:c>
      <x:c r="Z187" s="22" t="str">
        <x:v>SOURCE</x:v>
      </x:c>
      <x:c r="AA187" s="22"/>
      <x:c r="AB187" s="16"/>
      <x:c r="AC187" s="16" t="str">
        <x:v>EP01_대본_전량_001-282(2).md</x:v>
      </x:c>
      <x:c r="AD187" s="22" t="n">
        <x:v>2372</x:v>
      </x:c>
      <x:c r="AE187" s="139" t="str">
        <x:v>NOT_APPLICABLE</x:v>
      </x:c>
      <x:c r="AF187" s="139" t="str">
        <x:v>NONE</x:v>
      </x:c>
    </x:row>
    <x:row r="188" ht="72" customHeight="1">
      <x:c r="A188" s="24" t="str">
        <x:v>187</x:v>
      </x:c>
      <x:c r="B188" s="26" t="str">
        <x:v>B187-187</x:v>
      </x:c>
      <x:c r="C188" s="22" t="n">
        <x:v>1</x:v>
      </x:c>
      <x:c r="D188" s="22" t="str">
        <x:v>1/1</x:v>
      </x:c>
      <x:c r="E188" s="26" t="str">
        <x:v>EP01-S11</x:v>
      </x:c>
      <x:c r="F188" s="20" t="str">
        <x:v>9절 각성 · 10절</x:v>
      </x:c>
      <x:c r="G188" s="20" t="str">
        <x:v>LOW 대형 블리드</x:v>
      </x:c>
      <x:c r="H188" s="22" t="str">
        <x:v>⭐🔴</x:v>
      </x:c>
      <x:c r="I188" s="24" t="str">
        <x:v>07-2</x:v>
      </x:c>
      <x:c r="J188" s="20" t="str">
        <x:v>훈련장 엠버</x:v>
      </x:c>
      <x:c r="K188" s="16" t="str">
        <x:v>저주받은 전투 허수아비 전신 공개. 3미터. 광원이 놈으로 바뀐다 — 엠버가 아래에서 위로</x:v>
      </x:c>
      <x:c r="L188" s="16" t="str">
        <x:v>저주받은 전투 허수아비 전신 공개. 3미터. 광원이 놈으로 바뀐다 — 엠버가 아래에서 위로</x:v>
      </x:c>
      <x:c r="M188" s="16" t="str"/>
      <x:c r="N188" s="16" t="str">
        <x:v>그드드득</x:v>
      </x:c>
      <x:c r="O188" s="16" t="str">
        <x:v>3,500px · 여백 중</x:v>
      </x:c>
      <x:c r="P188" s="16" t="str">
        <x:v>A three meter wire-and-steel construct standing in a vast hall. IT IS THE ONLY LIGHT SOURCE — amber glowing from within, throwing light upward. All shadows stretch up the walls and ceiling. Low angle.</x:v>
      </x:c>
      <x:c r="Q188" s="16" t="str">
        <x:v>BOSS_REVEAL</x:v>
      </x:c>
      <x:c r="R188" s="16" t="str">
        <x:v>SIGNATURE / NONNEGOTIABLE</x:v>
      </x:c>
      <x:c r="S188" s="16" t="str">
        <x:v>허수아비가 보스로 전환되고 예비동작과 이중 음성을 노출</x:v>
      </x:c>
      <x:c r="T188" s="16" t="str">
        <x:v>시그니처 상징의 기원</x:v>
      </x:c>
      <x:c r="U188" s="16" t="str">
        <x:v>거리 / 박자 / 원 / 각인</x:v>
      </x:c>
      <x:c r="V188" s="16" t="str">
        <x:v>예비동작 읽기·보스 페이즈 전환</x:v>
      </x:c>
      <x:c r="W188" s="16"/>
      <x:c r="X188" s="22" t="str">
        <x:v>NONE</x:v>
      </x:c>
      <x:c r="Y188" s="16" t="str">
        <x:v>필수 정보·좌우·거리 판독성 우선 / GLOBAL-VIS-01</x:v>
      </x:c>
      <x:c r="Z188" s="22" t="str">
        <x:v>SOURCE</x:v>
      </x:c>
      <x:c r="AA188" s="22"/>
      <x:c r="AB188" s="16"/>
      <x:c r="AC188" s="16" t="str">
        <x:v>EP01_대본_전량_001-282(2).md</x:v>
      </x:c>
      <x:c r="AD188" s="22" t="n">
        <x:v>2391</x:v>
      </x:c>
      <x:c r="AE188" s="139" t="str">
        <x:v>NOT_APPLICABLE</x:v>
      </x:c>
      <x:c r="AF188" s="139" t="str">
        <x:v>NONE</x:v>
      </x:c>
    </x:row>
    <x:row r="189" ht="72" customHeight="1">
      <x:c r="A189" s="24" t="str">
        <x:v>188</x:v>
      </x:c>
      <x:c r="B189" s="26" t="str">
        <x:v>B188-190</x:v>
      </x:c>
      <x:c r="C189" s="22" t="n">
        <x:v>3</x:v>
      </x:c>
      <x:c r="D189" s="22" t="str">
        <x:v>1/3</x:v>
      </x:c>
      <x:c r="E189" s="26" t="str">
        <x:v>EP01-S11</x:v>
      </x:c>
      <x:c r="F189" s="20" t="str">
        <x:v>9절 각성 · 10절</x:v>
      </x:c>
      <x:c r="G189" s="20" t="str">
        <x:v>세로 3단</x:v>
      </x:c>
      <x:c r="H189" s="22" t="str">
        <x:v>⭐</x:v>
      </x:c>
      <x:c r="I189" s="24" t="str">
        <x:v>07-2-3</x:v>
      </x:c>
      <x:c r="J189" s="20" t="str">
        <x:v>훈련장 근접판 엠버</x:v>
      </x:c>
      <x:c r="K189" s="16" t="str">
        <x:v>판단이 끝난 얼굴</x:v>
      </x:c>
      <x:c r="L189" s="16" t="str">
        <x:v>① 판단이 끝난 얼굴 ② 낫을 쥔 손 ③ 두 사람과 놈, 출구는 프레임에 없다</x:v>
      </x:c>
      <x:c r="M189" s="16" t="str">
        <x:v>나레이션: 감당 못 할 건 건드리지 마라. / 그렇게 배웠고, 2년 동안 그 말만 지켰다. / 그런데 도망갈 데가 없었다.</x:v>
      </x:c>
      <x:c r="N189" s="16" t="str"/>
      <x:c r="O189" s="16" t="str">
        <x:v>2,800px · 여백 중</x:v>
      </x:c>
      <x:c r="P189" s="16" t="str">
        <x:v>Three stacked panels: a woman's face after a decision is made, a hand gripping a scythe, two small figures facing a huge construct with no exit in frame.</x:v>
      </x:c>
      <x:c r="Q189" s="16" t="str">
        <x:v>BOSS_REVEAL</x:v>
      </x:c>
      <x:c r="R189" s="16" t="str">
        <x:v>SIGNATURE</x:v>
      </x:c>
      <x:c r="S189" s="16" t="str">
        <x:v>허수아비가 보스로 전환되고 예비동작과 이중 음성을 노출</x:v>
      </x:c>
      <x:c r="T189" s="16" t="str">
        <x:v>시그니처 상징의 기원</x:v>
      </x:c>
      <x:c r="U189" s="16" t="str">
        <x:v>관찰 / 예비동작 / 공포</x:v>
      </x:c>
      <x:c r="V189" s="16" t="str">
        <x:v>예비동작 읽기·보스 페이즈 전환</x:v>
      </x:c>
      <x:c r="W189" s="16"/>
      <x:c r="X189" s="22" t="str">
        <x:v>NONE</x:v>
      </x:c>
      <x:c r="Y189" s="16" t="str">
        <x:v>아인 왼쪽 견갑·오른쪽 건틀릿 좌우 고정 / GLOBAL-VIS-01</x:v>
      </x:c>
      <x:c r="Z189" s="22" t="str">
        <x:v>SOURCE_SPLIT</x:v>
      </x:c>
      <x:c r="AA189" s="22"/>
      <x:c r="AB189" s="16"/>
      <x:c r="AC189" s="16" t="str">
        <x:v>EP01_대본_전량_001-282(2).md</x:v>
      </x:c>
      <x:c r="AD189" s="22" t="n">
        <x:v>2404</x:v>
      </x:c>
      <x:c r="AE189" s="139" t="str">
        <x:v>NOT_APPLICABLE</x:v>
      </x:c>
      <x:c r="AF189" s="139" t="str">
        <x:v>NONE</x:v>
      </x:c>
    </x:row>
    <x:row r="190" ht="72" customHeight="1">
      <x:c r="A190" s="24" t="str">
        <x:v>189</x:v>
      </x:c>
      <x:c r="B190" s="26" t="str">
        <x:v>B188-190</x:v>
      </x:c>
      <x:c r="C190" s="22" t="n">
        <x:v>3</x:v>
      </x:c>
      <x:c r="D190" s="22" t="str">
        <x:v>2/3</x:v>
      </x:c>
      <x:c r="E190" s="26" t="str">
        <x:v>EP01-S11</x:v>
      </x:c>
      <x:c r="F190" s="20" t="str">
        <x:v>9절 각성 · 10절</x:v>
      </x:c>
      <x:c r="G190" s="20" t="str">
        <x:v>세로 3단</x:v>
      </x:c>
      <x:c r="H190" s="22" t="str">
        <x:v>⭐</x:v>
      </x:c>
      <x:c r="I190" s="24" t="str">
        <x:v>07-2-3</x:v>
      </x:c>
      <x:c r="J190" s="20" t="str">
        <x:v>훈련장 근접판 엠버</x:v>
      </x:c>
      <x:c r="K190" s="16" t="str">
        <x:v>낫을 쥔 손</x:v>
      </x:c>
      <x:c r="L190" s="16" t="str">
        <x:v>① 판단이 끝난 얼굴 ② 낫을 쥔 손 ③ 두 사람과 놈, 출구는 프레임에 없다</x:v>
      </x:c>
      <x:c r="M190" s="16" t="str">
        <x:v>나레이션: 감당 못 할 건 건드리지 마라. / 그렇게 배웠고, 2년 동안 그 말만 지켰다. / 그런데 도망갈 데가 없었다.</x:v>
      </x:c>
      <x:c r="N190" s="16" t="str"/>
      <x:c r="O190" s="16" t="str">
        <x:v>2,800px · 여백 중</x:v>
      </x:c>
      <x:c r="P190" s="16" t="str">
        <x:v>Three stacked panels: a woman's face after a decision is made, a hand gripping a scythe, two small figures facing a huge construct with no exit in frame.</x:v>
      </x:c>
      <x:c r="Q190" s="16" t="str">
        <x:v>BOSS_REVEAL</x:v>
      </x:c>
      <x:c r="R190" s="16" t="str">
        <x:v>SIGNATURE</x:v>
      </x:c>
      <x:c r="S190" s="16" t="str">
        <x:v>허수아비가 보스로 전환되고 예비동작과 이중 음성을 노출</x:v>
      </x:c>
      <x:c r="T190" s="16" t="str">
        <x:v>시그니처 상징의 기원</x:v>
      </x:c>
      <x:c r="U190" s="16" t="str">
        <x:v>손 / 놓침 / 책임 / 거리</x:v>
      </x:c>
      <x:c r="V190" s="16" t="str">
        <x:v>예비동작 읽기·보스 페이즈 전환</x:v>
      </x:c>
      <x:c r="W190" s="16"/>
      <x:c r="X190" s="22" t="str">
        <x:v>NONE</x:v>
      </x:c>
      <x:c r="Y190" s="16" t="str">
        <x:v>아인 왼쪽 견갑·오른쪽 건틀릿 좌우 고정 / GLOBAL-VIS-01</x:v>
      </x:c>
      <x:c r="Z190" s="22" t="str">
        <x:v>SOURCE_SPLIT</x:v>
      </x:c>
      <x:c r="AA190" s="22"/>
      <x:c r="AB190" s="16"/>
      <x:c r="AC190" s="16" t="str">
        <x:v>EP01_대본_전량_001-282(2).md</x:v>
      </x:c>
      <x:c r="AD190" s="22" t="n">
        <x:v>2404</x:v>
      </x:c>
      <x:c r="AE190" s="139" t="str">
        <x:v>NOT_APPLICABLE</x:v>
      </x:c>
      <x:c r="AF190" s="139" t="str">
        <x:v>NONE</x:v>
      </x:c>
    </x:row>
    <x:row r="191" ht="72" customHeight="1">
      <x:c r="A191" s="24" t="str">
        <x:v>190</x:v>
      </x:c>
      <x:c r="B191" s="26" t="str">
        <x:v>B188-190</x:v>
      </x:c>
      <x:c r="C191" s="22" t="n">
        <x:v>3</x:v>
      </x:c>
      <x:c r="D191" s="22" t="str">
        <x:v>3/3</x:v>
      </x:c>
      <x:c r="E191" s="26" t="str">
        <x:v>EP01-S11</x:v>
      </x:c>
      <x:c r="F191" s="20" t="str">
        <x:v>9절 각성 · 10절</x:v>
      </x:c>
      <x:c r="G191" s="20" t="str">
        <x:v>세로 3단</x:v>
      </x:c>
      <x:c r="H191" s="22" t="str">
        <x:v>⭐</x:v>
      </x:c>
      <x:c r="I191" s="24" t="str">
        <x:v>07-2-3</x:v>
      </x:c>
      <x:c r="J191" s="20" t="str">
        <x:v>훈련장 근접판 엠버</x:v>
      </x:c>
      <x:c r="K191" s="16" t="str">
        <x:v>두 사람과 놈, 출구는 프레임에 없다</x:v>
      </x:c>
      <x:c r="L191" s="16" t="str">
        <x:v>① 판단이 끝난 얼굴 ② 낫을 쥔 손 ③ 두 사람과 놈, 출구는 프레임에 없다</x:v>
      </x:c>
      <x:c r="M191" s="16" t="str">
        <x:v>나레이션: 감당 못 할 건 건드리지 마라. / 그렇게 배웠고, 2년 동안 그 말만 지켰다. / 그런데 도망갈 데가 없었다.</x:v>
      </x:c>
      <x:c r="N191" s="16" t="str"/>
      <x:c r="O191" s="16" t="str">
        <x:v>2,800px · 여백 중</x:v>
      </x:c>
      <x:c r="P191" s="16" t="str">
        <x:v>Three stacked panels: a woman's face after a decision is made, a hand gripping a scythe, two small figures facing a huge construct with no exit in frame.</x:v>
      </x:c>
      <x:c r="Q191" s="16" t="str">
        <x:v>BOSS_REVEAL</x:v>
      </x:c>
      <x:c r="R191" s="16" t="str">
        <x:v>SIGNATURE</x:v>
      </x:c>
      <x:c r="S191" s="16" t="str">
        <x:v>허수아비가 보스로 전환되고 예비동작과 이중 음성을 노출</x:v>
      </x:c>
      <x:c r="T191" s="16" t="str">
        <x:v>시그니처 상징의 기원</x:v>
      </x:c>
      <x:c r="U191" s="16" t="str">
        <x:v>관찰 / 예비동작 / 공포</x:v>
      </x:c>
      <x:c r="V191" s="16" t="str">
        <x:v>예비동작 읽기·보스 페이즈 전환</x:v>
      </x:c>
      <x:c r="W191" s="16"/>
      <x:c r="X191" s="22" t="str">
        <x:v>NONE</x:v>
      </x:c>
      <x:c r="Y191" s="16" t="str">
        <x:v>아인 왼쪽 견갑·오른쪽 건틀릿 좌우 고정 / GLOBAL-VIS-01</x:v>
      </x:c>
      <x:c r="Z191" s="22" t="str">
        <x:v>SOURCE_SPLIT</x:v>
      </x:c>
      <x:c r="AA191" s="22"/>
      <x:c r="AB191" s="16"/>
      <x:c r="AC191" s="16" t="str">
        <x:v>EP01_대본_전량_001-282(2).md</x:v>
      </x:c>
      <x:c r="AD191" s="22" t="n">
        <x:v>2404</x:v>
      </x:c>
      <x:c r="AE191" s="139" t="str">
        <x:v>NOT_APPLICABLE</x:v>
      </x:c>
      <x:c r="AF191" s="139" t="str">
        <x:v>NONE</x:v>
      </x:c>
    </x:row>
    <x:row r="192" ht="72" customHeight="1">
      <x:c r="A192" s="24" t="str">
        <x:v>191</x:v>
      </x:c>
      <x:c r="B192" s="26" t="str">
        <x:v>B191-191</x:v>
      </x:c>
      <x:c r="C192" s="22" t="n">
        <x:v>1</x:v>
      </x:c>
      <x:c r="D192" s="22" t="str">
        <x:v>1/1</x:v>
      </x:c>
      <x:c r="E192" s="26" t="str">
        <x:v>EP01-S11</x:v>
      </x:c>
      <x:c r="F192" s="20" t="str">
        <x:v>9절 각성 · 10절</x:v>
      </x:c>
      <x:c r="G192" s="20" t="str">
        <x:v>MS 카인</x:v>
      </x:c>
      <x:c r="H192" s="22" t="str"/>
      <x:c r="I192" s="24" t="str">
        <x:v>07-2-3</x:v>
      </x:c>
      <x:c r="J192" s="20" t="str">
        <x:v>훈련장 근접판 엠버</x:v>
      </x:c>
      <x:c r="K192" s="16" t="str">
        <x:v>대검을 고쳐 쥔다</x:v>
      </x:c>
      <x:c r="L192" s="16" t="str">
        <x:v>대검을 고쳐 쥔다</x:v>
      </x:c>
      <x:c r="M192" s="16" t="str">
        <x:v>대사 · 카인: 「…30만 원짜리 짚단이 아닌데.」</x:v>
      </x:c>
      <x:c r="N192" s="16" t="str"/>
      <x:c r="O192" s="16" t="str">
        <x:v>900px · 여백 중</x:v>
      </x:c>
      <x:c r="P192" s="16" t="str">
        <x:v>A large man readjusting his grip on a greatsword.</x:v>
      </x:c>
      <x:c r="Q192" s="16" t="str">
        <x:v>BOSS_REVEAL</x:v>
      </x:c>
      <x:c r="R192" s="16" t="str"/>
      <x:c r="S192" s="16" t="str">
        <x:v>허수아비가 보스로 전환되고 예비동작과 이중 음성을 노출</x:v>
      </x:c>
      <x:c r="T192" s="16" t="str">
        <x:v>후속 정보가 생기면 행동·배경의 의미를 재검토</x:v>
      </x:c>
      <x:c r="U192" s="16" t="str">
        <x:v>관찰 / 예비동작 / 공포</x:v>
      </x:c>
      <x:c r="V192" s="16" t="str">
        <x:v>예비동작 읽기·보스 페이즈 전환</x:v>
      </x:c>
      <x:c r="W192" s="16"/>
      <x:c r="X192" s="22" t="str">
        <x:v>NONE</x:v>
      </x:c>
      <x:c r="Y192" s="16" t="str">
        <x:v>GLOBAL-VIS-01</x:v>
      </x:c>
      <x:c r="Z192" s="22" t="str">
        <x:v>SOURCE</x:v>
      </x:c>
      <x:c r="AA192" s="22"/>
      <x:c r="AB192" s="16"/>
      <x:c r="AC192" s="16" t="str">
        <x:v>EP01_대본_전량_001-282(2).md</x:v>
      </x:c>
      <x:c r="AD192" s="22" t="n">
        <x:v>2417</x:v>
      </x:c>
      <x:c r="AE192" s="139" t="str">
        <x:v>NOT_APPLICABLE</x:v>
      </x:c>
      <x:c r="AF192" s="139" t="str">
        <x:v>NONE</x:v>
      </x:c>
    </x:row>
    <x:row r="193" ht="72" customHeight="1">
      <x:c r="A193" s="24" t="str">
        <x:v>192</x:v>
      </x:c>
      <x:c r="B193" s="26" t="str">
        <x:v>B192-192</x:v>
      </x:c>
      <x:c r="C193" s="22" t="n">
        <x:v>1</x:v>
      </x:c>
      <x:c r="D193" s="22" t="str">
        <x:v>1/1</x:v>
      </x:c>
      <x:c r="E193" s="26" t="str">
        <x:v>EP01-S11</x:v>
      </x:c>
      <x:c r="F193" s="20" t="str">
        <x:v>9절 각성 · 10절</x:v>
      </x:c>
      <x:c r="G193" s="20" t="str">
        <x:v>CU 놈</x:v>
      </x:c>
      <x:c r="H193" s="22" t="str"/>
      <x:c r="I193" s="24" t="str">
        <x:v>07-2-3</x:v>
      </x:c>
      <x:c r="J193" s="20" t="str">
        <x:v>훈련장 근접판 엠버</x:v>
      </x:c>
      <x:c r="K193" s="16" t="str">
        <x:v>붉은 안광. 고개가 기울어진다</x:v>
      </x:c>
      <x:c r="L193" s="16" t="str">
        <x:v>붉은 안광. 고개가 기울어진다</x:v>
      </x:c>
      <x:c r="M193" s="16" t="str"/>
      <x:c r="N193" s="16" t="str"/>
      <x:c r="O193" s="16" t="str">
        <x:v>800px · 여백 중</x:v>
      </x:c>
      <x:c r="P193" s="16" t="str">
        <x:v>Close on a construct's head. Two red points of light. The head tilts.</x:v>
      </x:c>
      <x:c r="Q193" s="16" t="str">
        <x:v>BOSS_REVEAL</x:v>
      </x:c>
      <x:c r="R193" s="16" t="str"/>
      <x:c r="S193" s="16" t="str">
        <x:v>허수아비가 보스로 전환되고 예비동작과 이중 음성을 노출</x:v>
      </x:c>
      <x:c r="T193" s="16" t="str">
        <x:v>후속 정보가 생기면 행동·배경의 의미를 재검토</x:v>
      </x:c>
      <x:c r="U193" s="16" t="str">
        <x:v>관찰 / 예비동작 / 공포</x:v>
      </x:c>
      <x:c r="V193" s="16" t="str">
        <x:v>예비동작 읽기·보스 페이즈 전환</x:v>
      </x:c>
      <x:c r="W193" s="16"/>
      <x:c r="X193" s="22" t="str">
        <x:v>NONE</x:v>
      </x:c>
      <x:c r="Y193" s="16" t="str">
        <x:v>GLOBAL-VIS-01</x:v>
      </x:c>
      <x:c r="Z193" s="22" t="str">
        <x:v>SOURCE</x:v>
      </x:c>
      <x:c r="AA193" s="22"/>
      <x:c r="AB193" s="16"/>
      <x:c r="AC193" s="16" t="str">
        <x:v>EP01_대본_전량_001-282(2).md</x:v>
      </x:c>
      <x:c r="AD193" s="22" t="n">
        <x:v>2430</x:v>
      </x:c>
      <x:c r="AE193" s="139" t="str">
        <x:v>NOT_APPLICABLE</x:v>
      </x:c>
      <x:c r="AF193" s="139" t="str">
        <x:v>NONE</x:v>
      </x:c>
    </x:row>
    <x:row r="194" ht="72" customHeight="1">
      <x:c r="A194" s="24" t="str">
        <x:v>193</x:v>
      </x:c>
      <x:c r="B194" s="26" t="str">
        <x:v>B193-193</x:v>
      </x:c>
      <x:c r="C194" s="22" t="n">
        <x:v>1</x:v>
      </x:c>
      <x:c r="D194" s="22" t="str">
        <x:v>1/1</x:v>
      </x:c>
      <x:c r="E194" s="26" t="str">
        <x:v>EP01-S11</x:v>
      </x:c>
      <x:c r="F194" s="20" t="str">
        <x:v>9절 각성 · 10절</x:v>
      </x:c>
      <x:c r="G194" s="20" t="str">
        <x:v>CU 이중 말풍선</x:v>
      </x:c>
      <x:c r="H194" s="22" t="str">
        <x:v>⭐🎣</x:v>
      </x:c>
      <x:c r="I194" s="24" t="str">
        <x:v>07-2-3</x:v>
      </x:c>
      <x:c r="J194" s="20" t="str">
        <x:v>훈련장 근접판 엠버</x:v>
      </x:c>
      <x:c r="K194" s="16" t="str">
        <x:v>놈이 말한다. 말풍선 뒤에 한 겹 더. 뒤겹에는 글자가 아니라 파형</x:v>
      </x:c>
      <x:c r="L194" s="16" t="str">
        <x:v>놈이 말한다. 말풍선 뒤에 한 겹 더. 뒤겹에는 글자가 아니라 파형</x:v>
      </x:c>
      <x:c r="M194" s="16" t="str">
        <x:v>대사 · 보스: 「어설프다… 벌레 같은 인간놈들!」</x:v>
      </x:c>
      <x:c r="N194" s="16" t="str"/>
      <x:c r="O194" s="16" t="str">
        <x:v>2,500px · 여백 중</x:v>
      </x:c>
      <x:c r="P194" s="16" t="str">
        <x:v>A construct speaking. Leave clear space for a speech bubble. Do not draw text.</x:v>
      </x:c>
      <x:c r="Q194" s="16" t="str">
        <x:v>BOSS_REVEAL</x:v>
      </x:c>
      <x:c r="R194" s="16" t="str">
        <x:v>SIGNATURE / FORESHADOW</x:v>
      </x:c>
      <x:c r="S194" s="16" t="str">
        <x:v>허수아비가 보스로 전환되고 예비동작과 이중 음성을 노출</x:v>
      </x:c>
      <x:c r="T194" s="16" t="str">
        <x:v>처음에는 배경·노이즈로 보인 정보의 의미가 바뀜 / 시그니처 상징의 기원 / EP27에서 두 목소리와 공명의 정체가 회수됨</x:v>
      </x:c>
      <x:c r="U194" s="16" t="str">
        <x:v>호출 / 배양 / 응답</x:v>
      </x:c>
      <x:c r="V194" s="16" t="str">
        <x:v>예비동작 읽기·보스 페이즈 전환 / 음성 레이어를 분리해 재청취 시 다른 신호가 들리게 설계</x:v>
      </x:c>
      <x:c r="W194" s="16" t="str">
        <x:v>PAYOFF: EP27: 두 목소리·호출 신호</x:v>
      </x:c>
      <x:c r="X194" s="22" t="str">
        <x:v>PAYOFF</x:v>
      </x:c>
      <x:c r="Y194" s="16" t="str">
        <x:v>복선 강조 금지 / GLOBAL-VIS-01</x:v>
      </x:c>
      <x:c r="Z194" s="22" t="str">
        <x:v>SOURCE</x:v>
      </x:c>
      <x:c r="AA194" s="22"/>
      <x:c r="AB194" s="16"/>
      <x:c r="AC194" s="16" t="str">
        <x:v>EP01_대본_전량_001-282(2).md</x:v>
      </x:c>
      <x:c r="AD194" s="22" t="n">
        <x:v>2442</x:v>
      </x:c>
      <x:c r="AE194" s="139" t="str">
        <x:v>PUBLIC_CANON</x:v>
      </x:c>
      <x:c r="AF194" s="139" t="str">
        <x:v>CONTRACT</x:v>
      </x:c>
    </x:row>
    <x:row r="195" ht="72" customHeight="1">
      <x:c r="A195" s="24" t="str">
        <x:v>194</x:v>
      </x:c>
      <x:c r="B195" s="26" t="str">
        <x:v>B194-194</x:v>
      </x:c>
      <x:c r="C195" s="22" t="n">
        <x:v>1</x:v>
      </x:c>
      <x:c r="D195" s="22" t="str">
        <x:v>1/1</x:v>
      </x:c>
      <x:c r="E195" s="26" t="str">
        <x:v>EP01-S11</x:v>
      </x:c>
      <x:c r="F195" s="20" t="str">
        <x:v>9절 각성 · 10절</x:v>
      </x:c>
      <x:c r="G195" s="20" t="str">
        <x:v>CU 아인</x:v>
      </x:c>
      <x:c r="H195" s="22" t="str"/>
      <x:c r="I195" s="24" t="str">
        <x:v>07-2-3</x:v>
      </x:c>
      <x:c r="J195" s="20" t="str">
        <x:v>훈련장 근접판 엠버</x:v>
      </x:c>
      <x:c r="K195" s="16" t="str">
        <x:v>눈이 좁아진다</x:v>
      </x:c>
      <x:c r="L195" s="16" t="str">
        <x:v>눈이 좁아진다</x:v>
      </x:c>
      <x:c r="M195" s="16" t="str">
        <x:v>대사 · 아인: 「…방금, 목소리가 두 개였어.」</x:v>
      </x:c>
      <x:c r="N195" s="16" t="str"/>
      <x:c r="O195" s="16" t="str">
        <x:v>800px · 여백 중</x:v>
      </x:c>
      <x:c r="P195" s="16" t="str">
        <x:v>A young woman's eyes narrowing.</x:v>
      </x:c>
      <x:c r="Q195" s="16" t="str">
        <x:v>BOSS_REVEAL</x:v>
      </x:c>
      <x:c r="R195" s="16" t="str"/>
      <x:c r="S195" s="16" t="str">
        <x:v>허수아비가 보스로 전환되고 예비동작과 이중 음성을 노출</x:v>
      </x:c>
      <x:c r="T195" s="16" t="str">
        <x:v>EP27에서 두 목소리와 공명의 정체가 회수됨</x:v>
      </x:c>
      <x:c r="U195" s="16" t="str">
        <x:v>관찰 / 예비동작 / 공포</x:v>
      </x:c>
      <x:c r="V195" s="16" t="str">
        <x:v>예비동작 읽기·보스 페이즈 전환 / 음성 레이어를 분리해 재청취 시 다른 신호가 들리게 설계</x:v>
      </x:c>
      <x:c r="W195" s="16" t="str">
        <x:v>PAYOFF: EP27: 두 목소리·호출 신호</x:v>
      </x:c>
      <x:c r="X195" s="22" t="str">
        <x:v>PAYOFF</x:v>
      </x:c>
      <x:c r="Y195" s="16" t="str">
        <x:v>아인 왼쪽 견갑·오른쪽 건틀릿 좌우 고정 / GLOBAL-VIS-01</x:v>
      </x:c>
      <x:c r="Z195" s="22" t="str">
        <x:v>SOURCE</x:v>
      </x:c>
      <x:c r="AA195" s="22"/>
      <x:c r="AB195" s="16"/>
      <x:c r="AC195" s="16" t="str">
        <x:v>EP01_대본_전량_001-282(2).md</x:v>
      </x:c>
      <x:c r="AD195" s="22" t="n">
        <x:v>2455</x:v>
      </x:c>
      <x:c r="AE195" s="139" t="str">
        <x:v>PUBLIC_CANON</x:v>
      </x:c>
      <x:c r="AF195" s="139" t="str">
        <x:v>CONTRACT</x:v>
      </x:c>
    </x:row>
    <x:row r="196" ht="72" customHeight="1">
      <x:c r="A196" s="24" t="str">
        <x:v>195</x:v>
      </x:c>
      <x:c r="B196" s="26" t="str">
        <x:v>B195-199</x:v>
      </x:c>
      <x:c r="C196" s="22" t="n">
        <x:v>5</x:v>
      </x:c>
      <x:c r="D196" s="22" t="str">
        <x:v>1/5</x:v>
      </x:c>
      <x:c r="E196" s="26" t="str">
        <x:v>EP01-S11</x:v>
      </x:c>
      <x:c r="F196" s="20" t="str">
        <x:v>9절 각성 · 10절</x:v>
      </x:c>
      <x:c r="G196" s="20" t="str">
        <x:v>세로 4단</x:v>
      </x:c>
      <x:c r="H196" s="22" t="str">
        <x:v>⭐</x:v>
      </x:c>
      <x:c r="I196" s="24" t="str">
        <x:v>07-2-3</x:v>
      </x:c>
      <x:c r="J196" s="20" t="str">
        <x:v>훈련장 근접판 엠버</x:v>
      </x:c>
      <x:c r="K196" s="16" t="str">
        <x:v>어깨가 감긴다</x:v>
      </x:c>
      <x:c r="L196" s="16" t="str">
        <x:v>① 어깨가 감긴다 ② 허리가 비틀린다 ③ 발이 바닥을 고정한다 ④ 강선이 팽팽해진다</x:v>
      </x:c>
      <x:c r="M196" s="16" t="str"/>
      <x:c r="N196" s="16" t="str">
        <x:v>지잉—</x:v>
      </x:c>
      <x:c r="O196" s="16" t="str">
        <x:v>3,200px · 여백 중</x:v>
      </x:c>
      <x:c r="P196" s="16" t="str">
        <x:v>Four stacked panels of a construct winding up: a shoulder coiling, a waist twisting, a foot planting, steel cable pulling taut.</x:v>
      </x:c>
      <x:c r="Q196" s="16" t="str">
        <x:v>BOSS_REVEAL</x:v>
      </x:c>
      <x:c r="R196" s="16" t="str">
        <x:v>SIGNATURE</x:v>
      </x:c>
      <x:c r="S196" s="16" t="str">
        <x:v>허수아비가 보스로 전환되고 예비동작과 이중 음성을 노출</x:v>
      </x:c>
      <x:c r="T196" s="16" t="str">
        <x:v>시그니처 상징의 기원</x:v>
      </x:c>
      <x:c r="U196" s="16" t="str">
        <x:v>관찰 / 예비동작 / 공포</x:v>
      </x:c>
      <x:c r="V196" s="16" t="str">
        <x:v>예비동작 읽기·보스 페이즈 전환</x:v>
      </x:c>
      <x:c r="W196" s="16"/>
      <x:c r="X196" s="22" t="str">
        <x:v>NONE</x:v>
      </x:c>
      <x:c r="Y196" s="16" t="str">
        <x:v>GLOBAL-VIS-01</x:v>
      </x:c>
      <x:c r="Z196" s="22" t="str">
        <x:v>EDITORIAL_REVIEW</x:v>
      </x:c>
      <x:c r="AA196" s="22"/>
      <x:c r="AB196" s="16"/>
      <x:c r="AC196" s="16" t="str">
        <x:v>EP01_대본_전량_001-282(2).md</x:v>
      </x:c>
      <x:c r="AD196" s="22" t="n">
        <x:v>2468</x:v>
      </x:c>
      <x:c r="AE196" s="139" t="str">
        <x:v>NOT_APPLICABLE</x:v>
      </x:c>
      <x:c r="AF196" s="139" t="str">
        <x:v>NONE</x:v>
      </x:c>
    </x:row>
    <x:row r="197" ht="72" customHeight="1">
      <x:c r="A197" s="24" t="str">
        <x:v>196</x:v>
      </x:c>
      <x:c r="B197" s="26" t="str">
        <x:v>B195-199</x:v>
      </x:c>
      <x:c r="C197" s="22" t="n">
        <x:v>5</x:v>
      </x:c>
      <x:c r="D197" s="22" t="str">
        <x:v>2/5</x:v>
      </x:c>
      <x:c r="E197" s="26" t="str">
        <x:v>EP01-S11</x:v>
      </x:c>
      <x:c r="F197" s="20" t="str">
        <x:v>9절 각성 · 10절</x:v>
      </x:c>
      <x:c r="G197" s="20" t="str">
        <x:v>세로 4단</x:v>
      </x:c>
      <x:c r="H197" s="22" t="str">
        <x:v>⭐</x:v>
      </x:c>
      <x:c r="I197" s="24" t="str">
        <x:v>07-2-3</x:v>
      </x:c>
      <x:c r="J197" s="20" t="str">
        <x:v>훈련장 근접판 엠버</x:v>
      </x:c>
      <x:c r="K197" s="16" t="str">
        <x:v>허리가 비틀린다</x:v>
      </x:c>
      <x:c r="L197" s="16" t="str">
        <x:v>① 어깨가 감긴다 ② 허리가 비틀린다 ③ 발이 바닥을 고정한다 ④ 강선이 팽팽해진다</x:v>
      </x:c>
      <x:c r="M197" s="16" t="str"/>
      <x:c r="N197" s="16" t="str">
        <x:v>지잉—</x:v>
      </x:c>
      <x:c r="O197" s="16" t="str">
        <x:v>3,200px · 여백 중</x:v>
      </x:c>
      <x:c r="P197" s="16" t="str">
        <x:v>Four stacked panels of a construct winding up: a shoulder coiling, a waist twisting, a foot planting, steel cable pulling taut.</x:v>
      </x:c>
      <x:c r="Q197" s="16" t="str">
        <x:v>BOSS_REVEAL</x:v>
      </x:c>
      <x:c r="R197" s="16" t="str">
        <x:v>SIGNATURE</x:v>
      </x:c>
      <x:c r="S197" s="16" t="str">
        <x:v>허수아비가 보스로 전환되고 예비동작과 이중 음성을 노출</x:v>
      </x:c>
      <x:c r="T197" s="16" t="str">
        <x:v>시그니처 상징의 기원</x:v>
      </x:c>
      <x:c r="U197" s="16" t="str">
        <x:v>관찰 / 예비동작 / 공포</x:v>
      </x:c>
      <x:c r="V197" s="16" t="str">
        <x:v>예비동작 읽기·보스 페이즈 전환</x:v>
      </x:c>
      <x:c r="W197" s="16"/>
      <x:c r="X197" s="22" t="str">
        <x:v>NONE</x:v>
      </x:c>
      <x:c r="Y197" s="16" t="str">
        <x:v>GLOBAL-VIS-01</x:v>
      </x:c>
      <x:c r="Z197" s="22" t="str">
        <x:v>EDITORIAL_REVIEW</x:v>
      </x:c>
      <x:c r="AA197" s="22"/>
      <x:c r="AB197" s="16"/>
      <x:c r="AC197" s="16" t="str">
        <x:v>EP01_대본_전량_001-282(2).md</x:v>
      </x:c>
      <x:c r="AD197" s="22" t="n">
        <x:v>2468</x:v>
      </x:c>
      <x:c r="AE197" s="139" t="str">
        <x:v>NOT_APPLICABLE</x:v>
      </x:c>
      <x:c r="AF197" s="139" t="str">
        <x:v>NONE</x:v>
      </x:c>
    </x:row>
    <x:row r="198" ht="72" customHeight="1">
      <x:c r="A198" s="24" t="str">
        <x:v>197</x:v>
      </x:c>
      <x:c r="B198" s="26" t="str">
        <x:v>B195-199</x:v>
      </x:c>
      <x:c r="C198" s="22" t="n">
        <x:v>5</x:v>
      </x:c>
      <x:c r="D198" s="22" t="str">
        <x:v>3/5</x:v>
      </x:c>
      <x:c r="E198" s="26" t="str">
        <x:v>EP01-S11</x:v>
      </x:c>
      <x:c r="F198" s="20" t="str">
        <x:v>9절 각성 · 10절</x:v>
      </x:c>
      <x:c r="G198" s="20" t="str">
        <x:v>세로 4단</x:v>
      </x:c>
      <x:c r="H198" s="22" t="str">
        <x:v>⭐</x:v>
      </x:c>
      <x:c r="I198" s="24" t="str">
        <x:v>07-2-3</x:v>
      </x:c>
      <x:c r="J198" s="20" t="str">
        <x:v>훈련장 근접판 엠버</x:v>
      </x:c>
      <x:c r="K198" s="16" t="str">
        <x:v>발이 바닥을 고정한다</x:v>
      </x:c>
      <x:c r="L198" s="16" t="str">
        <x:v>① 어깨가 감긴다 ② 허리가 비틀린다 ③ 발이 바닥을 고정한다 ④ 강선이 팽팽해진다</x:v>
      </x:c>
      <x:c r="M198" s="16" t="str"/>
      <x:c r="N198" s="16" t="str">
        <x:v>지잉—</x:v>
      </x:c>
      <x:c r="O198" s="16" t="str">
        <x:v>3,200px · 여백 중</x:v>
      </x:c>
      <x:c r="P198" s="16" t="str">
        <x:v>Four stacked panels of a construct winding up: a shoulder coiling, a waist twisting, a foot planting, steel cable pulling taut.</x:v>
      </x:c>
      <x:c r="Q198" s="16" t="str">
        <x:v>BOSS_REVEAL</x:v>
      </x:c>
      <x:c r="R198" s="16" t="str">
        <x:v>SIGNATURE</x:v>
      </x:c>
      <x:c r="S198" s="16" t="str">
        <x:v>허수아비가 보스로 전환되고 예비동작과 이중 음성을 노출</x:v>
      </x:c>
      <x:c r="T198" s="16" t="str">
        <x:v>시그니처 상징의 기원</x:v>
      </x:c>
      <x:c r="U198" s="16" t="str">
        <x:v>거리 / 보호 / 선택</x:v>
      </x:c>
      <x:c r="V198" s="16" t="str">
        <x:v>예비동작 읽기·보스 페이즈 전환</x:v>
      </x:c>
      <x:c r="W198" s="16"/>
      <x:c r="X198" s="22" t="str">
        <x:v>NONE</x:v>
      </x:c>
      <x:c r="Y198" s="16" t="str">
        <x:v>GLOBAL-VIS-01</x:v>
      </x:c>
      <x:c r="Z198" s="22" t="str">
        <x:v>EDITORIAL_REVIEW</x:v>
      </x:c>
      <x:c r="AA198" s="22"/>
      <x:c r="AB198" s="16"/>
      <x:c r="AC198" s="16" t="str">
        <x:v>EP01_대본_전량_001-282(2).md</x:v>
      </x:c>
      <x:c r="AD198" s="22" t="n">
        <x:v>2468</x:v>
      </x:c>
      <x:c r="AE198" s="139" t="str">
        <x:v>NOT_APPLICABLE</x:v>
      </x:c>
      <x:c r="AF198" s="139" t="str">
        <x:v>NONE</x:v>
      </x:c>
    </x:row>
    <x:row r="199" ht="72" customHeight="1">
      <x:c r="A199" s="24" t="str">
        <x:v>198</x:v>
      </x:c>
      <x:c r="B199" s="26" t="str">
        <x:v>B195-199</x:v>
      </x:c>
      <x:c r="C199" s="22" t="n">
        <x:v>5</x:v>
      </x:c>
      <x:c r="D199" s="22" t="str">
        <x:v>4/5</x:v>
      </x:c>
      <x:c r="E199" s="26" t="str">
        <x:v>EP01-S11</x:v>
      </x:c>
      <x:c r="F199" s="20" t="str">
        <x:v>9절 각성 · 10절</x:v>
      </x:c>
      <x:c r="G199" s="20" t="str">
        <x:v>세로 4단</x:v>
      </x:c>
      <x:c r="H199" s="22" t="str">
        <x:v>⭐</x:v>
      </x:c>
      <x:c r="I199" s="24" t="str">
        <x:v>07-2-3</x:v>
      </x:c>
      <x:c r="J199" s="20" t="str">
        <x:v>훈련장 근접판 엠버</x:v>
      </x:c>
      <x:c r="K199" s="16" t="str">
        <x:v>강선이 팽팽해진다</x:v>
      </x:c>
      <x:c r="L199" s="16" t="str">
        <x:v>① 어깨가 감긴다 ② 허리가 비틀린다 ③ 발이 바닥을 고정한다 ④ 강선이 팽팽해진다</x:v>
      </x:c>
      <x:c r="M199" s="16" t="str"/>
      <x:c r="N199" s="16" t="str">
        <x:v>지잉—</x:v>
      </x:c>
      <x:c r="O199" s="16" t="str">
        <x:v>3,200px · 여백 중</x:v>
      </x:c>
      <x:c r="P199" s="16" t="str">
        <x:v>Four stacked panels of a construct winding up: a shoulder coiling, a waist twisting, a foot planting, steel cable pulling taut.</x:v>
      </x:c>
      <x:c r="Q199" s="16" t="str">
        <x:v>BOSS_REVEAL</x:v>
      </x:c>
      <x:c r="R199" s="16" t="str">
        <x:v>SIGNATURE</x:v>
      </x:c>
      <x:c r="S199" s="16" t="str">
        <x:v>허수아비가 보스로 전환되고 예비동작과 이중 음성을 노출</x:v>
      </x:c>
      <x:c r="T199" s="16" t="str">
        <x:v>시그니처 상징의 기원</x:v>
      </x:c>
      <x:c r="U199" s="16" t="str">
        <x:v>관찰 / 예비동작 / 공포</x:v>
      </x:c>
      <x:c r="V199" s="16" t="str">
        <x:v>예비동작 읽기·보스 페이즈 전환</x:v>
      </x:c>
      <x:c r="W199" s="16"/>
      <x:c r="X199" s="22" t="str">
        <x:v>NONE</x:v>
      </x:c>
      <x:c r="Y199" s="16" t="str">
        <x:v>GLOBAL-VIS-01</x:v>
      </x:c>
      <x:c r="Z199" s="22" t="str">
        <x:v>EDITORIAL_REVIEW</x:v>
      </x:c>
      <x:c r="AA199" s="22"/>
      <x:c r="AB199" s="16"/>
      <x:c r="AC199" s="16" t="str">
        <x:v>EP01_대본_전량_001-282(2).md</x:v>
      </x:c>
      <x:c r="AD199" s="22" t="n">
        <x:v>2468</x:v>
      </x:c>
      <x:c r="AE199" s="139" t="str">
        <x:v>NOT_APPLICABLE</x:v>
      </x:c>
      <x:c r="AF199" s="139" t="str">
        <x:v>NONE</x:v>
      </x:c>
    </x:row>
    <x:row r="200" ht="72" customHeight="1">
      <x:c r="A200" s="24" t="str">
        <x:v>199</x:v>
      </x:c>
      <x:c r="B200" s="26" t="str">
        <x:v>B195-199</x:v>
      </x:c>
      <x:c r="C200" s="22" t="n">
        <x:v>5</x:v>
      </x:c>
      <x:c r="D200" s="22" t="str">
        <x:v>5/5</x:v>
      </x:c>
      <x:c r="E200" s="26" t="str">
        <x:v>EP01-S11</x:v>
      </x:c>
      <x:c r="F200" s="20" t="str">
        <x:v>9절 각성 · 10절</x:v>
      </x:c>
      <x:c r="G200" s="20" t="str">
        <x:v>ECU 무음 인서트</x:v>
      </x:c>
      <x:c r="H200" s="22" t="str">
        <x:v>⭐</x:v>
      </x:c>
      <x:c r="I200" s="24" t="str">
        <x:v>07-2-3</x:v>
      </x:c>
      <x:c r="J200" s="20" t="str">
        <x:v>훈련장 근접판 엠버</x:v>
      </x:c>
      <x:c r="K200" s="16" t="str">
        <x:v>입 없는 흉곽 강선이 한 번 안쪽으로 수축하며 숨이 들어간다. 큰 일격 직전의 반 박자.</x:v>
      </x:c>
      <x:c r="L200" s="16" t="str">
        <x:v>입 없는 흉곽 강선이 한 번 안쪽으로 수축하며 숨이 들어간다. 큰 일격 직전의 반 박자.</x:v>
      </x:c>
      <x:c r="M200" s="16" t="str">
        <x:v>나레이션: 숨이 들어갔다.</x:v>
      </x:c>
      <x:c r="N200" s="16" t="str">
        <x:v>스으—</x:v>
      </x:c>
      <x:c r="O200" s="16" t="str">
        <x:v>3,200px · 여백 중</x:v>
      </x:c>
      <x:c r="P200" s="16" t="str">
        <x:v>Four stacked panels of a construct winding up: a shoulder coiling, a waist twisting, a foot planting, steel cable pulling taut.</x:v>
      </x:c>
      <x:c r="Q200" s="16" t="str">
        <x:v>BOSS_REVEAL</x:v>
      </x:c>
      <x:c r="R200" s="16" t="str">
        <x:v>SIGNATURE</x:v>
      </x:c>
      <x:c r="S200" s="16" t="str">
        <x:v>허수아비가 보스로 전환되고 예비동작과 이중 음성을 노출</x:v>
      </x:c>
      <x:c r="T200" s="16" t="str">
        <x:v>시그니처 상징의 기원</x:v>
      </x:c>
      <x:c r="U200" s="16" t="str">
        <x:v>관찰 / 예비동작 / 공포</x:v>
      </x:c>
      <x:c r="V200" s="16" t="str">
        <x:v>예비동작 읽기·보스 페이즈 전환</x:v>
      </x:c>
      <x:c r="W200" s="16"/>
      <x:c r="X200" s="22" t="str">
        <x:v>NONE</x:v>
      </x:c>
      <x:c r="Y200" s="16" t="str">
        <x:v>GLOBAL-VIS-01</x:v>
      </x:c>
      <x:c r="Z200" s="22" t="str">
        <x:v>EDITORIAL_CANON_SPLIT</x:v>
      </x:c>
      <x:c r="AA200" s="22" t="str">
        <x:v>RESOLVED</x:v>
      </x:c>
      <x:c r="AB200" s="16" t="str">
        <x:v>원본 콘티 4단/번호 5컷 불일치. 소설 11절의 ‘숨이 들어갔다’를 CUT199로 배치해 공격 예비동작을 5단계로 완결.</x:v>
      </x:c>
      <x:c r="AC200" s="16" t="str">
        <x:v>소설_EP01_황혼_아래_사신의_낫(1).md</x:v>
      </x:c>
      <x:c r="AD200" s="22" t="n">
        <x:v>752</x:v>
      </x:c>
      <x:c r="AE200" s="139" t="str">
        <x:v>NOT_APPLICABLE</x:v>
      </x:c>
      <x:c r="AF200" s="139" t="str">
        <x:v>NONE</x:v>
      </x:c>
    </x:row>
    <x:row r="201" ht="72" customHeight="1">
      <x:c r="A201" s="24" t="str">
        <x:v>200</x:v>
      </x:c>
      <x:c r="B201" s="26" t="str">
        <x:v>B200-200</x:v>
      </x:c>
      <x:c r="C201" s="22" t="n">
        <x:v>1</x:v>
      </x:c>
      <x:c r="D201" s="22" t="str">
        <x:v>1/1</x:v>
      </x:c>
      <x:c r="E201" s="26" t="str">
        <x:v>EP01-S11</x:v>
      </x:c>
      <x:c r="F201" s="20" t="str">
        <x:v>9절 각성 · 10절</x:v>
      </x:c>
      <x:c r="G201" s="20" t="str">
        <x:v>WIDE</x:v>
      </x:c>
      <x:c r="H201" s="22" t="str">
        <x:v>⭐</x:v>
      </x:c>
      <x:c r="I201" s="24" t="str">
        <x:v>07-2-3</x:v>
      </x:c>
      <x:c r="J201" s="20" t="str">
        <x:v>훈련장 근접판 엠버</x:v>
      </x:c>
      <x:c r="K201" s="16" t="str">
        <x:v>아인이 앞으로 나선다. 카인보다 먼저</x:v>
      </x:c>
      <x:c r="L201" s="16" t="str">
        <x:v>아인이 앞으로 나선다. 카인보다 먼저</x:v>
      </x:c>
      <x:c r="M201" s="16" t="str"/>
      <x:c r="N201" s="16" t="str"/>
      <x:c r="O201" s="16" t="str">
        <x:v>1,000px · 여백 중</x:v>
      </x:c>
      <x:c r="P201" s="16" t="str">
        <x:v>A young woman stepping forward ahead of a larger man.</x:v>
      </x:c>
      <x:c r="Q201" s="16" t="str">
        <x:v>BOSS_REVEAL</x:v>
      </x:c>
      <x:c r="R201" s="16" t="str">
        <x:v>SIGNATURE</x:v>
      </x:c>
      <x:c r="S201" s="16" t="str">
        <x:v>허수아비가 보스로 전환되고 예비동작과 이중 음성을 노출</x:v>
      </x:c>
      <x:c r="T201" s="16" t="str">
        <x:v>시그니처 상징의 기원</x:v>
      </x:c>
      <x:c r="U201" s="16" t="str">
        <x:v>관찰 / 예비동작 / 공포</x:v>
      </x:c>
      <x:c r="V201" s="16" t="str">
        <x:v>예비동작 읽기·보스 페이즈 전환</x:v>
      </x:c>
      <x:c r="W201" s="16"/>
      <x:c r="X201" s="22" t="str">
        <x:v>NONE</x:v>
      </x:c>
      <x:c r="Y201" s="16" t="str">
        <x:v>아인 왼쪽 견갑·오른쪽 건틀릿 좌우 고정 / GLOBAL-VIS-01</x:v>
      </x:c>
      <x:c r="Z201" s="22" t="str">
        <x:v>SOURCE</x:v>
      </x:c>
      <x:c r="AA201" s="22"/>
      <x:c r="AB201" s="16"/>
      <x:c r="AC201" s="16" t="str">
        <x:v>EP01_대본_전량_001-282(2).md</x:v>
      </x:c>
      <x:c r="AD201" s="22" t="n">
        <x:v>2481</x:v>
      </x:c>
      <x:c r="AE201" s="139" t="str">
        <x:v>NOT_APPLICABLE</x:v>
      </x:c>
      <x:c r="AF201" s="139" t="str">
        <x:v>NONE</x:v>
      </x:c>
    </x:row>
    <x:row r="202" ht="72" customHeight="1">
      <x:c r="A202" s="24" t="str">
        <x:v>201</x:v>
      </x:c>
      <x:c r="B202" s="26" t="str">
        <x:v>B201-201</x:v>
      </x:c>
      <x:c r="C202" s="22" t="n">
        <x:v>1</x:v>
      </x:c>
      <x:c r="D202" s="22" t="str">
        <x:v>1/1</x:v>
      </x:c>
      <x:c r="E202" s="26" t="str">
        <x:v>EP01-S12</x:v>
      </x:c>
      <x:c r="F202" s="20" t="str">
        <x:v>11절 거리</x:v>
      </x:c>
      <x:c r="G202" s="20" t="str">
        <x:v>측면 눈높이 직각</x:v>
      </x:c>
      <x:c r="H202" s="22" t="str">
        <x:v>⭐🔒</x:v>
      </x:c>
      <x:c r="I202" s="24" t="str">
        <x:v>07-2</x:v>
      </x:c>
      <x:c r="J202" s="20" t="str">
        <x:v>훈련장 엠버</x:v>
      </x:c>
      <x:c r="K202" s="16" t="str">
        <x:v>기준 컷. 왼쪽 아인, 오른쪽 놈. 간격 전체가 프레임에 들어온다</x:v>
      </x:c>
      <x:c r="L202" s="16" t="str">
        <x:v>기준 컷. 왼쪽 아인, 오른쪽 놈. 간격 전체가 프레임에 들어온다</x:v>
      </x:c>
      <x:c r="M202" s="16" t="str"/>
      <x:c r="N202" s="16" t="str"/>
      <x:c r="O202" s="16" t="str">
        <x:v>1,100px · 여백 중</x:v>
      </x:c>
      <x:c r="P202" s="16" t="str">
        <x:v>SIDE VIEW, EYE LEVEL, PERPENDICULAR. A woman on the left, a construct on the right. The entire gap between them is visible. Remember this exact framing.</x:v>
      </x:c>
      <x:c r="Q202" s="16" t="str">
        <x:v>RANGE_FAILURE</x:v>
      </x:c>
      <x:c r="R202" s="16" t="str">
        <x:v>SIGNATURE / CALLBACK</x:v>
      </x:c>
      <x:c r="S202" s="16" t="str">
        <x:v>낫은 타이밍만이 아니라 정확한 반경이 필요한 무기임을 실패로 학습</x:v>
      </x:c>
      <x:c r="T202" s="16" t="str">
        <x:v>동일 구도 반복이 관계·기억의 변화를 증명 / 시그니처 상징의 기원</x:v>
      </x:c>
      <x:c r="U202" s="16" t="str">
        <x:v>선택 / 대가 / 침묵</x:v>
      </x:c>
      <x:c r="V202" s="16" t="str">
        <x:v>거리 밴드·무기 충돌·실패 피드백</x:v>
      </x:c>
      <x:c r="W202" s="16"/>
      <x:c r="X202" s="22" t="str">
        <x:v>NONE</x:v>
      </x:c>
      <x:c r="Y202" s="16" t="str">
        <x:v>지정 컷과 동일 구도 / 아인 왼쪽 견갑·오른쪽 건틀릿 좌우 고정 / GLOBAL-VIS-01</x:v>
      </x:c>
      <x:c r="Z202" s="22" t="str">
        <x:v>SOURCE</x:v>
      </x:c>
      <x:c r="AA202" s="22"/>
      <x:c r="AB202" s="16"/>
      <x:c r="AC202" s="16" t="str">
        <x:v>EP01_대본_전량_001-282(2).md</x:v>
      </x:c>
      <x:c r="AD202" s="22" t="n">
        <x:v>2499</x:v>
      </x:c>
      <x:c r="AE202" s="139" t="str">
        <x:v>NOT_APPLICABLE</x:v>
      </x:c>
      <x:c r="AF202" s="139" t="str">
        <x:v>NONE</x:v>
      </x:c>
    </x:row>
    <x:row r="203" ht="72" customHeight="1">
      <x:c r="A203" s="24" t="str">
        <x:v>202</x:v>
      </x:c>
      <x:c r="B203" s="26" t="str">
        <x:v>B202-202</x:v>
      </x:c>
      <x:c r="C203" s="22" t="n">
        <x:v>1</x:v>
      </x:c>
      <x:c r="D203" s="22" t="str">
        <x:v>1/1</x:v>
      </x:c>
      <x:c r="E203" s="26" t="str">
        <x:v>EP01-S12</x:v>
      </x:c>
      <x:c r="F203" s="20" t="str">
        <x:v>11절 거리</x:v>
      </x:c>
      <x:c r="G203" s="20" t="str">
        <x:v>MS</x:v>
      </x:c>
      <x:c r="H203" s="22" t="str"/>
      <x:c r="I203" s="24" t="str">
        <x:v>07-2-3</x:v>
      </x:c>
      <x:c r="J203" s="20" t="str">
        <x:v>훈련장 근접판 엠버</x:v>
      </x:c>
      <x:c r="K203" s="16" t="str">
        <x:v>아인이 파고든다</x:v>
      </x:c>
      <x:c r="L203" s="16" t="str">
        <x:v>아인이 파고든다</x:v>
      </x:c>
      <x:c r="M203" s="16" t="str"/>
      <x:c r="N203" s="16" t="str">
        <x:v>타—</x:v>
      </x:c>
      <x:c r="O203" s="16" t="str">
        <x:v>900px · 여백 중</x:v>
      </x:c>
      <x:c r="P203" s="16" t="str">
        <x:v>A woman dashing forward.</x:v>
      </x:c>
      <x:c r="Q203" s="16" t="str">
        <x:v>RANGE_FAILURE</x:v>
      </x:c>
      <x:c r="R203" s="16" t="str"/>
      <x:c r="S203" s="16" t="str">
        <x:v>낫은 타이밍만이 아니라 정확한 반경이 필요한 무기임을 실패로 학습</x:v>
      </x:c>
      <x:c r="T203" s="16" t="str">
        <x:v>후속 정보가 생기면 행동·배경의 의미를 재검토</x:v>
      </x:c>
      <x:c r="U203" s="16" t="str">
        <x:v>선택 / 대가 / 침묵</x:v>
      </x:c>
      <x:c r="V203" s="16" t="str">
        <x:v>거리 밴드·무기 충돌·실패 피드백</x:v>
      </x:c>
      <x:c r="W203" s="16"/>
      <x:c r="X203" s="22" t="str">
        <x:v>NONE</x:v>
      </x:c>
      <x:c r="Y203" s="16" t="str">
        <x:v>아인 왼쪽 견갑·오른쪽 건틀릿 좌우 고정 / GLOBAL-VIS-01</x:v>
      </x:c>
      <x:c r="Z203" s="22" t="str">
        <x:v>SOURCE</x:v>
      </x:c>
      <x:c r="AA203" s="22"/>
      <x:c r="AB203" s="16"/>
      <x:c r="AC203" s="16" t="str">
        <x:v>EP01_대본_전량_001-282(2).md</x:v>
      </x:c>
      <x:c r="AD203" s="22" t="n">
        <x:v>2511</x:v>
      </x:c>
      <x:c r="AE203" s="139" t="str">
        <x:v>NOT_APPLICABLE</x:v>
      </x:c>
      <x:c r="AF203" s="139" t="str">
        <x:v>NONE</x:v>
      </x:c>
    </x:row>
    <x:row r="204" ht="72" customHeight="1">
      <x:c r="A204" s="24" t="str">
        <x:v>203</x:v>
      </x:c>
      <x:c r="B204" s="26" t="str">
        <x:v>B203-203</x:v>
      </x:c>
      <x:c r="C204" s="22" t="n">
        <x:v>1</x:v>
      </x:c>
      <x:c r="D204" s="22" t="str">
        <x:v>1/1</x:v>
      </x:c>
      <x:c r="E204" s="26" t="str">
        <x:v>EP01-S12</x:v>
      </x:c>
      <x:c r="F204" s="20" t="str">
        <x:v>11절 거리</x:v>
      </x:c>
      <x:c r="G204" s="20" t="str">
        <x:v>측면 동일 앵글</x:v>
      </x:c>
      <x:c r="H204" s="22" t="str">
        <x:v>⭐🔒</x:v>
      </x:c>
      <x:c r="I204" s="24" t="str">
        <x:v>07-2</x:v>
      </x:c>
      <x:c r="J204" s="20" t="str">
        <x:v>훈련장 엠버</x:v>
      </x:c>
      <x:c r="K204" s="16" t="str">
        <x:v>간격이 좁아졌다. 그것만 다르다</x:v>
      </x:c>
      <x:c r="L204" s="16" t="str">
        <x:v>간격이 좁아졌다. 그것만 다르다</x:v>
      </x:c>
      <x:c r="M204" s="16" t="str"/>
      <x:c r="N204" s="16" t="str"/>
      <x:c r="O204" s="16" t="str">
        <x:v>1,100px · 여백 중</x:v>
      </x:c>
      <x:c r="P204" s="16" t="str">
        <x:v>IDENTICAL FRAMING TO THE PREVIOUS SIDE VIEW. Only the gap between the two is now smaller.</x:v>
      </x:c>
      <x:c r="Q204" s="16" t="str">
        <x:v>RANGE_FAILURE</x:v>
      </x:c>
      <x:c r="R204" s="16" t="str">
        <x:v>SIGNATURE / CALLBACK</x:v>
      </x:c>
      <x:c r="S204" s="16" t="str">
        <x:v>낫은 타이밍만이 아니라 정확한 반경이 필요한 무기임을 실패로 학습</x:v>
      </x:c>
      <x:c r="T204" s="16" t="str">
        <x:v>동일 구도 반복이 관계·기억의 변화를 증명 / 시그니처 상징의 기원</x:v>
      </x:c>
      <x:c r="U204" s="16" t="str">
        <x:v>선택 / 대가 / 침묵</x:v>
      </x:c>
      <x:c r="V204" s="16" t="str">
        <x:v>거리 밴드·무기 충돌·실패 피드백</x:v>
      </x:c>
      <x:c r="W204" s="16"/>
      <x:c r="X204" s="22" t="str">
        <x:v>NONE</x:v>
      </x:c>
      <x:c r="Y204" s="16" t="str">
        <x:v>지정 컷과 동일 구도 / GLOBAL-VIS-01</x:v>
      </x:c>
      <x:c r="Z204" s="22" t="str">
        <x:v>SOURCE</x:v>
      </x:c>
      <x:c r="AA204" s="22"/>
      <x:c r="AB204" s="16"/>
      <x:c r="AC204" s="16" t="str">
        <x:v>EP01_대본_전량_001-282(2).md</x:v>
      </x:c>
      <x:c r="AD204" s="22" t="n">
        <x:v>2524</x:v>
      </x:c>
      <x:c r="AE204" s="139" t="str">
        <x:v>NOT_APPLICABLE</x:v>
      </x:c>
      <x:c r="AF204" s="139" t="str">
        <x:v>NONE</x:v>
      </x:c>
    </x:row>
    <x:row r="205" ht="72" customHeight="1">
      <x:c r="A205" s="24" t="str">
        <x:v>204</x:v>
      </x:c>
      <x:c r="B205" s="26" t="str">
        <x:v>B204-204</x:v>
      </x:c>
      <x:c r="C205" s="22" t="n">
        <x:v>1</x:v>
      </x:c>
      <x:c r="D205" s="22" t="str">
        <x:v>1/1</x:v>
      </x:c>
      <x:c r="E205" s="26" t="str">
        <x:v>EP01-S12</x:v>
      </x:c>
      <x:c r="F205" s="20" t="str">
        <x:v>11절 거리</x:v>
      </x:c>
      <x:c r="G205" s="20" t="str">
        <x:v>ECU</x:v>
      </x:c>
      <x:c r="H205" s="22" t="str">
        <x:v>📢🔴</x:v>
      </x:c>
      <x:c r="I205" s="24" t="str">
        <x:v>07-2-3</x:v>
      </x:c>
      <x:c r="J205" s="20" t="str">
        <x:v>훈련장 근접판 엠버</x:v>
      </x:c>
      <x:c r="K205" s="16" t="str">
        <x:v>낫 자루가 자기 몸에 걸린다. 팔꿈치가 옆구리에 닿았다. 자루가 돌 자리를 잃었다</x:v>
      </x:c>
      <x:c r="L205" s="16" t="str">
        <x:v>낫 자루가 자기 몸에 걸린다. 팔꿈치가 옆구리에 닿았다. 자루가 돌 자리를 잃었다</x:v>
      </x:c>
      <x:c r="M205" s="16" t="str">
        <x:v>나레이션: 팔꿈치가 옆구리에 닿았다. / 자루가 돌 자리를 잃었다.</x:v>
      </x:c>
      <x:c r="N205" s="16" t="str"/>
      <x:c r="O205" s="16" t="str">
        <x:v>2,400px · 여백 중</x:v>
      </x:c>
      <x:c r="P205" s="16" t="str">
        <x:v>INFORMATION SHOT. A scythe shaft jammed against the wielder's own body. The elbow presses into her ribs. The shaft has no room to rotate. Make the obstruction clearly readable.</x:v>
      </x:c>
      <x:c r="Q205" s="16" t="str">
        <x:v>RANGE_FAILURE</x:v>
      </x:c>
      <x:c r="R205" s="16" t="str">
        <x:v>EXPLICIT_RULE / NONNEGOTIABLE</x:v>
      </x:c>
      <x:c r="S205" s="16" t="str">
        <x:v>낫은 타이밍만이 아니라 정확한 반경이 필요한 무기임을 실패로 학습</x:v>
      </x:c>
      <x:c r="T205" s="16" t="str">
        <x:v>후속 정보가 생기면 행동·배경의 의미를 재검토</x:v>
      </x:c>
      <x:c r="U205" s="16" t="str">
        <x:v>거리 / 박자 / 원</x:v>
      </x:c>
      <x:c r="V205" s="16" t="str">
        <x:v>거리 밴드·무기 충돌·실패 피드백</x:v>
      </x:c>
      <x:c r="W205" s="16"/>
      <x:c r="X205" s="22" t="str">
        <x:v>NONE</x:v>
      </x:c>
      <x:c r="Y205" s="16" t="str">
        <x:v>필수 정보·좌우·거리 판독성 우선 / 정보 컷; 분위기보다 이해 우선 / GLOBAL-VIS-01</x:v>
      </x:c>
      <x:c r="Z205" s="22" t="str">
        <x:v>SOURCE</x:v>
      </x:c>
      <x:c r="AA205" s="22"/>
      <x:c r="AB205" s="16"/>
      <x:c r="AC205" s="16" t="str">
        <x:v>EP01_대본_전량_001-282(2).md</x:v>
      </x:c>
      <x:c r="AD205" s="22" t="n">
        <x:v>2536</x:v>
      </x:c>
      <x:c r="AE205" s="139" t="str">
        <x:v>NOT_APPLICABLE</x:v>
      </x:c>
      <x:c r="AF205" s="139" t="str">
        <x:v>NONE</x:v>
      </x:c>
    </x:row>
    <x:row r="206" ht="72" customHeight="1">
      <x:c r="A206" s="24" t="str">
        <x:v>205</x:v>
      </x:c>
      <x:c r="B206" s="26" t="str">
        <x:v>B205-206</x:v>
      </x:c>
      <x:c r="C206" s="22" t="n">
        <x:v>2</x:v>
      </x:c>
      <x:c r="D206" s="22" t="str">
        <x:v>1/2</x:v>
      </x:c>
      <x:c r="E206" s="26" t="str">
        <x:v>EP01-S12</x:v>
      </x:c>
      <x:c r="F206" s="20" t="str">
        <x:v>11절 거리</x:v>
      </x:c>
      <x:c r="G206" s="20" t="str">
        <x:v>인서트</x:v>
      </x:c>
      <x:c r="H206" s="22" t="str"/>
      <x:c r="I206" s="24" t="str">
        <x:v>07-2-3</x:v>
      </x:c>
      <x:c r="J206" s="20" t="str">
        <x:v>훈련장 근접판 엠버</x:v>
      </x:c>
      <x:c r="K206" s="16" t="str">
        <x:v>회전이 멈춘다</x:v>
      </x:c>
      <x:c r="L206" s="16" t="str">
        <x:v>회전이 멈춘다 → 칼날이 표면에서 튕긴다</x:v>
      </x:c>
      <x:c r="M206" s="16" t="str"/>
      <x:c r="N206" s="16" t="str">
        <x:v>틱—</x:v>
      </x:c>
      <x:c r="O206" s="16" t="str">
        <x:v>1,200px · 여백 중</x:v>
      </x:c>
      <x:c r="P206" s="16" t="str">
        <x:v>A scythe blade glancing off a hard surface with no force behind it.</x:v>
      </x:c>
      <x:c r="Q206" s="16" t="str">
        <x:v>RANGE_FAILURE</x:v>
      </x:c>
      <x:c r="R206" s="16" t="str"/>
      <x:c r="S206" s="16" t="str">
        <x:v>낫은 타이밍만이 아니라 정확한 반경이 필요한 무기임을 실패로 학습</x:v>
      </x:c>
      <x:c r="T206" s="16" t="str">
        <x:v>후속 정보가 생기면 행동·배경의 의미를 재검토</x:v>
      </x:c>
      <x:c r="U206" s="16" t="str">
        <x:v>선택 / 대가 / 침묵</x:v>
      </x:c>
      <x:c r="V206" s="16" t="str">
        <x:v>거리 밴드·무기 충돌·실패 피드백</x:v>
      </x:c>
      <x:c r="W206" s="16"/>
      <x:c r="X206" s="22" t="str">
        <x:v>NONE</x:v>
      </x:c>
      <x:c r="Y206" s="16" t="str">
        <x:v>GLOBAL-VIS-01</x:v>
      </x:c>
      <x:c r="Z206" s="22" t="str">
        <x:v>SOURCE_SPLIT</x:v>
      </x:c>
      <x:c r="AA206" s="22"/>
      <x:c r="AB206" s="16"/>
      <x:c r="AC206" s="16" t="str">
        <x:v>EP01_대본_전량_001-282(2).md</x:v>
      </x:c>
      <x:c r="AD206" s="22" t="n">
        <x:v>2549</x:v>
      </x:c>
      <x:c r="AE206" s="139" t="str">
        <x:v>NOT_APPLICABLE</x:v>
      </x:c>
      <x:c r="AF206" s="139" t="str">
        <x:v>NONE</x:v>
      </x:c>
    </x:row>
    <x:row r="207" ht="72" customHeight="1">
      <x:c r="A207" s="24" t="str">
        <x:v>206</x:v>
      </x:c>
      <x:c r="B207" s="26" t="str">
        <x:v>B205-206</x:v>
      </x:c>
      <x:c r="C207" s="22" t="n">
        <x:v>2</x:v>
      </x:c>
      <x:c r="D207" s="22" t="str">
        <x:v>2/2</x:v>
      </x:c>
      <x:c r="E207" s="26" t="str">
        <x:v>EP01-S12</x:v>
      </x:c>
      <x:c r="F207" s="20" t="str">
        <x:v>11절 거리</x:v>
      </x:c>
      <x:c r="G207" s="20" t="str">
        <x:v>인서트</x:v>
      </x:c>
      <x:c r="H207" s="22" t="str"/>
      <x:c r="I207" s="24" t="str">
        <x:v>07-2-3</x:v>
      </x:c>
      <x:c r="J207" s="20" t="str">
        <x:v>훈련장 근접판 엠버</x:v>
      </x:c>
      <x:c r="K207" s="16" t="str">
        <x:v>칼날이 표면에서 튕긴다</x:v>
      </x:c>
      <x:c r="L207" s="16" t="str">
        <x:v>회전이 멈춘다 → 칼날이 표면에서 튕긴다</x:v>
      </x:c>
      <x:c r="M207" s="16" t="str"/>
      <x:c r="N207" s="16" t="str">
        <x:v>틱—</x:v>
      </x:c>
      <x:c r="O207" s="16" t="str">
        <x:v>1,200px · 여백 중</x:v>
      </x:c>
      <x:c r="P207" s="16" t="str">
        <x:v>A scythe blade glancing off a hard surface with no force behind it.</x:v>
      </x:c>
      <x:c r="Q207" s="16" t="str">
        <x:v>RANGE_FAILURE</x:v>
      </x:c>
      <x:c r="R207" s="16" t="str"/>
      <x:c r="S207" s="16" t="str">
        <x:v>낫은 타이밍만이 아니라 정확한 반경이 필요한 무기임을 실패로 학습</x:v>
      </x:c>
      <x:c r="T207" s="16" t="str">
        <x:v>후속 정보가 생기면 행동·배경의 의미를 재검토</x:v>
      </x:c>
      <x:c r="U207" s="16" t="str">
        <x:v>거리 / 박자 / 원</x:v>
      </x:c>
      <x:c r="V207" s="16" t="str">
        <x:v>거리 밴드·무기 충돌·실패 피드백</x:v>
      </x:c>
      <x:c r="W207" s="16"/>
      <x:c r="X207" s="22" t="str">
        <x:v>NONE</x:v>
      </x:c>
      <x:c r="Y207" s="16" t="str">
        <x:v>GLOBAL-VIS-01</x:v>
      </x:c>
      <x:c r="Z207" s="22" t="str">
        <x:v>SOURCE_SPLIT</x:v>
      </x:c>
      <x:c r="AA207" s="22"/>
      <x:c r="AB207" s="16"/>
      <x:c r="AC207" s="16" t="str">
        <x:v>EP01_대본_전량_001-282(2).md</x:v>
      </x:c>
      <x:c r="AD207" s="22" t="n">
        <x:v>2549</x:v>
      </x:c>
      <x:c r="AE207" s="139" t="str">
        <x:v>NOT_APPLICABLE</x:v>
      </x:c>
      <x:c r="AF207" s="139" t="str">
        <x:v>NONE</x:v>
      </x:c>
    </x:row>
    <x:row r="208" ht="72" customHeight="1">
      <x:c r="A208" s="24" t="str">
        <x:v>207</x:v>
      </x:c>
      <x:c r="B208" s="26" t="str">
        <x:v>B207-209</x:v>
      </x:c>
      <x:c r="C208" s="22" t="n">
        <x:v>3</x:v>
      </x:c>
      <x:c r="D208" s="22" t="str">
        <x:v>1/3</x:v>
      </x:c>
      <x:c r="E208" s="26" t="str">
        <x:v>EP01-S12</x:v>
      </x:c>
      <x:c r="F208" s="20" t="str">
        <x:v>11절 거리</x:v>
      </x:c>
      <x:c r="G208" s="20" t="str">
        <x:v>극세로 블리드</x:v>
      </x:c>
      <x:c r="H208" s="22" t="str">
        <x:v>⭐</x:v>
      </x:c>
      <x:c r="I208" s="24" t="str">
        <x:v>07-2</x:v>
      </x:c>
      <x:c r="J208" s="20" t="str">
        <x:v>훈련장 엠버</x:v>
      </x:c>
      <x:c r="K208" s="16" t="str">
        <x:v>팔꿈치가 되돌아온다</x:v>
      </x:c>
      <x:c r="L208" s="16" t="str">
        <x:v>① 팔꿈치가 되돌아온다 ② 어깨에 정통, 아인이 날아간다 ③ 매트 위를 두 바퀴 구른다</x:v>
      </x:c>
      <x:c r="M208" s="16" t="str"/>
      <x:c r="N208" s="16" t="str">
        <x:v>쿵!</x:v>
      </x:c>
      <x:c r="O208" s="16" t="str">
        <x:v>3,800px · 여백 중</x:v>
      </x:c>
      <x:c r="P208" s="16" t="str">
        <x:v>Three moments in one tall panel: a construct's elbow driving back, a woman struck on the shoulder and thrown, her body rolling twice across the floor.</x:v>
      </x:c>
      <x:c r="Q208" s="16" t="str">
        <x:v>RANGE_FAILURE</x:v>
      </x:c>
      <x:c r="R208" s="16" t="str">
        <x:v>SIGNATURE</x:v>
      </x:c>
      <x:c r="S208" s="16" t="str">
        <x:v>낫은 타이밍만이 아니라 정확한 반경이 필요한 무기임을 실패로 학습</x:v>
      </x:c>
      <x:c r="T208" s="16" t="str">
        <x:v>시그니처 상징의 기원</x:v>
      </x:c>
      <x:c r="U208" s="16" t="str">
        <x:v>선택 / 대가 / 침묵</x:v>
      </x:c>
      <x:c r="V208" s="16" t="str">
        <x:v>거리 밴드·무기 충돌·실패 피드백</x:v>
      </x:c>
      <x:c r="W208" s="16"/>
      <x:c r="X208" s="22" t="str">
        <x:v>NONE</x:v>
      </x:c>
      <x:c r="Y208" s="16" t="str">
        <x:v>아인 왼쪽 견갑·오른쪽 건틀릿 좌우 고정 / GLOBAL-VIS-01</x:v>
      </x:c>
      <x:c r="Z208" s="22" t="str">
        <x:v>SOURCE_SPLIT</x:v>
      </x:c>
      <x:c r="AA208" s="22"/>
      <x:c r="AB208" s="16"/>
      <x:c r="AC208" s="16" t="str">
        <x:v>EP01_대본_전량_001-282(2).md</x:v>
      </x:c>
      <x:c r="AD208" s="22" t="n">
        <x:v>2562</x:v>
      </x:c>
      <x:c r="AE208" s="139" t="str">
        <x:v>NOT_APPLICABLE</x:v>
      </x:c>
      <x:c r="AF208" s="139" t="str">
        <x:v>NONE</x:v>
      </x:c>
    </x:row>
    <x:row r="209" ht="72" customHeight="1">
      <x:c r="A209" s="24" t="str">
        <x:v>208</x:v>
      </x:c>
      <x:c r="B209" s="26" t="str">
        <x:v>B207-209</x:v>
      </x:c>
      <x:c r="C209" s="22" t="n">
        <x:v>3</x:v>
      </x:c>
      <x:c r="D209" s="22" t="str">
        <x:v>2/3</x:v>
      </x:c>
      <x:c r="E209" s="26" t="str">
        <x:v>EP01-S12</x:v>
      </x:c>
      <x:c r="F209" s="20" t="str">
        <x:v>11절 거리</x:v>
      </x:c>
      <x:c r="G209" s="20" t="str">
        <x:v>극세로 블리드</x:v>
      </x:c>
      <x:c r="H209" s="22" t="str">
        <x:v>⭐</x:v>
      </x:c>
      <x:c r="I209" s="24" t="str">
        <x:v>07-2</x:v>
      </x:c>
      <x:c r="J209" s="20" t="str">
        <x:v>훈련장 엠버</x:v>
      </x:c>
      <x:c r="K209" s="16" t="str">
        <x:v>어깨에 정통, 아인이 날아간다</x:v>
      </x:c>
      <x:c r="L209" s="16" t="str">
        <x:v>① 팔꿈치가 되돌아온다 ② 어깨에 정통, 아인이 날아간다 ③ 매트 위를 두 바퀴 구른다</x:v>
      </x:c>
      <x:c r="M209" s="16" t="str"/>
      <x:c r="N209" s="16" t="str">
        <x:v>쿵!</x:v>
      </x:c>
      <x:c r="O209" s="16" t="str">
        <x:v>3,800px · 여백 중</x:v>
      </x:c>
      <x:c r="P209" s="16" t="str">
        <x:v>Three moments in one tall panel: a construct's elbow driving back, a woman struck on the shoulder and thrown, her body rolling twice across the floor.</x:v>
      </x:c>
      <x:c r="Q209" s="16" t="str">
        <x:v>RANGE_FAILURE</x:v>
      </x:c>
      <x:c r="R209" s="16" t="str">
        <x:v>SIGNATURE</x:v>
      </x:c>
      <x:c r="S209" s="16" t="str">
        <x:v>낫은 타이밍만이 아니라 정확한 반경이 필요한 무기임을 실패로 학습</x:v>
      </x:c>
      <x:c r="T209" s="16" t="str">
        <x:v>시그니처 상징의 기원</x:v>
      </x:c>
      <x:c r="U209" s="16" t="str">
        <x:v>선택 / 대가 / 침묵</x:v>
      </x:c>
      <x:c r="V209" s="16" t="str">
        <x:v>거리 밴드·무기 충돌·실패 피드백</x:v>
      </x:c>
      <x:c r="W209" s="16"/>
      <x:c r="X209" s="22" t="str">
        <x:v>NONE</x:v>
      </x:c>
      <x:c r="Y209" s="16" t="str">
        <x:v>아인 왼쪽 견갑·오른쪽 건틀릿 좌우 고정 / GLOBAL-VIS-01</x:v>
      </x:c>
      <x:c r="Z209" s="22" t="str">
        <x:v>SOURCE_SPLIT</x:v>
      </x:c>
      <x:c r="AA209" s="22"/>
      <x:c r="AB209" s="16"/>
      <x:c r="AC209" s="16" t="str">
        <x:v>EP01_대본_전량_001-282(2).md</x:v>
      </x:c>
      <x:c r="AD209" s="22" t="n">
        <x:v>2562</x:v>
      </x:c>
      <x:c r="AE209" s="139" t="str">
        <x:v>NOT_APPLICABLE</x:v>
      </x:c>
      <x:c r="AF209" s="139" t="str">
        <x:v>NONE</x:v>
      </x:c>
    </x:row>
    <x:row r="210" ht="72" customHeight="1">
      <x:c r="A210" s="24" t="str">
        <x:v>209</x:v>
      </x:c>
      <x:c r="B210" s="26" t="str">
        <x:v>B207-209</x:v>
      </x:c>
      <x:c r="C210" s="22" t="n">
        <x:v>3</x:v>
      </x:c>
      <x:c r="D210" s="22" t="str">
        <x:v>3/3</x:v>
      </x:c>
      <x:c r="E210" s="26" t="str">
        <x:v>EP01-S12</x:v>
      </x:c>
      <x:c r="F210" s="20" t="str">
        <x:v>11절 거리</x:v>
      </x:c>
      <x:c r="G210" s="20" t="str">
        <x:v>극세로 블리드</x:v>
      </x:c>
      <x:c r="H210" s="22" t="str">
        <x:v>⭐</x:v>
      </x:c>
      <x:c r="I210" s="24" t="str">
        <x:v>07-2</x:v>
      </x:c>
      <x:c r="J210" s="20" t="str">
        <x:v>훈련장 엠버</x:v>
      </x:c>
      <x:c r="K210" s="16" t="str">
        <x:v>매트 위를 두 바퀴 구른다</x:v>
      </x:c>
      <x:c r="L210" s="16" t="str">
        <x:v>① 팔꿈치가 되돌아온다 ② 어깨에 정통, 아인이 날아간다 ③ 매트 위를 두 바퀴 구른다</x:v>
      </x:c>
      <x:c r="M210" s="16" t="str"/>
      <x:c r="N210" s="16" t="str">
        <x:v>쿵!</x:v>
      </x:c>
      <x:c r="O210" s="16" t="str">
        <x:v>3,800px · 여백 중</x:v>
      </x:c>
      <x:c r="P210" s="16" t="str">
        <x:v>Three moments in one tall panel: a construct's elbow driving back, a woman struck on the shoulder and thrown, her body rolling twice across the floor.</x:v>
      </x:c>
      <x:c r="Q210" s="16" t="str">
        <x:v>RANGE_FAILURE</x:v>
      </x:c>
      <x:c r="R210" s="16" t="str">
        <x:v>SIGNATURE</x:v>
      </x:c>
      <x:c r="S210" s="16" t="str">
        <x:v>낫은 타이밍만이 아니라 정확한 반경이 필요한 무기임을 실패로 학습</x:v>
      </x:c>
      <x:c r="T210" s="16" t="str">
        <x:v>시그니처 상징의 기원</x:v>
      </x:c>
      <x:c r="U210" s="16" t="str">
        <x:v>선택 / 대가 / 침묵</x:v>
      </x:c>
      <x:c r="V210" s="16" t="str">
        <x:v>거리 밴드·무기 충돌·실패 피드백</x:v>
      </x:c>
      <x:c r="W210" s="16"/>
      <x:c r="X210" s="22" t="str">
        <x:v>NONE</x:v>
      </x:c>
      <x:c r="Y210" s="16" t="str">
        <x:v>아인 왼쪽 견갑·오른쪽 건틀릿 좌우 고정 / GLOBAL-VIS-01</x:v>
      </x:c>
      <x:c r="Z210" s="22" t="str">
        <x:v>SOURCE_SPLIT</x:v>
      </x:c>
      <x:c r="AA210" s="22"/>
      <x:c r="AB210" s="16"/>
      <x:c r="AC210" s="16" t="str">
        <x:v>EP01_대본_전량_001-282(2).md</x:v>
      </x:c>
      <x:c r="AD210" s="22" t="n">
        <x:v>2562</x:v>
      </x:c>
      <x:c r="AE210" s="139" t="str">
        <x:v>NOT_APPLICABLE</x:v>
      </x:c>
      <x:c r="AF210" s="139" t="str">
        <x:v>NONE</x:v>
      </x:c>
    </x:row>
    <x:row r="211" ht="72" customHeight="1">
      <x:c r="A211" s="24" t="str">
        <x:v>210</x:v>
      </x:c>
      <x:c r="B211" s="26" t="str">
        <x:v>B210-211</x:v>
      </x:c>
      <x:c r="C211" s="22" t="n">
        <x:v>2</x:v>
      </x:c>
      <x:c r="D211" s="22" t="str">
        <x:v>1/2</x:v>
      </x:c>
      <x:c r="E211" s="26" t="str">
        <x:v>EP01-S12</x:v>
      </x:c>
      <x:c r="F211" s="20" t="str">
        <x:v>11절 거리</x:v>
      </x:c>
      <x:c r="G211" s="20" t="str">
        <x:v>MS</x:v>
      </x:c>
      <x:c r="H211" s="22" t="str"/>
      <x:c r="I211" s="24" t="str">
        <x:v>07-2-3</x:v>
      </x:c>
      <x:c r="J211" s="20" t="str">
        <x:v>훈련장 근접판 엠버</x:v>
      </x:c>
      <x:c r="K211" s="16" t="str">
        <x:v>손을 짚고 일어선다</x:v>
      </x:c>
      <x:c r="L211" s="16" t="str">
        <x:v>손을 짚고 일어선다. 이를 악문다</x:v>
      </x:c>
      <x:c r="M211" s="16" t="str">
        <x:v>대사 · 아인: 「…거리. 너무 붙었어.」</x:v>
      </x:c>
      <x:c r="N211" s="16" t="str"/>
      <x:c r="O211" s="16" t="str">
        <x:v>1,200px · 여백 중</x:v>
      </x:c>
      <x:c r="P211" s="16" t="str">
        <x:v>A woman pushing up off the floor, teeth clenched.</x:v>
      </x:c>
      <x:c r="Q211" s="16" t="str">
        <x:v>RANGE_FAILURE</x:v>
      </x:c>
      <x:c r="R211" s="16" t="str"/>
      <x:c r="S211" s="16" t="str">
        <x:v>낫은 타이밍만이 아니라 정확한 반경이 필요한 무기임을 실패로 학습</x:v>
      </x:c>
      <x:c r="T211" s="16" t="str">
        <x:v>후속 정보가 생기면 행동·배경의 의미를 재검토</x:v>
      </x:c>
      <x:c r="U211" s="16" t="str">
        <x:v>손 / 놓침 / 책임</x:v>
      </x:c>
      <x:c r="V211" s="16" t="str">
        <x:v>거리 밴드·무기 충돌·실패 피드백</x:v>
      </x:c>
      <x:c r="W211" s="16"/>
      <x:c r="X211" s="22" t="str">
        <x:v>NONE</x:v>
      </x:c>
      <x:c r="Y211" s="16" t="str">
        <x:v>아인 왼쪽 견갑·오른쪽 건틀릿 좌우 고정 / GLOBAL-VIS-01</x:v>
      </x:c>
      <x:c r="Z211" s="22" t="str">
        <x:v>EDITORIAL_SPLIT</x:v>
      </x:c>
      <x:c r="AA211" s="22"/>
      <x:c r="AB211" s="16"/>
      <x:c r="AC211" s="16" t="str">
        <x:v>EP01_대본_전량_001-282(2).md</x:v>
      </x:c>
      <x:c r="AD211" s="22" t="n">
        <x:v>2575</x:v>
      </x:c>
      <x:c r="AE211" s="139" t="str">
        <x:v>NOT_APPLICABLE</x:v>
      </x:c>
      <x:c r="AF211" s="139" t="str">
        <x:v>NONE</x:v>
      </x:c>
    </x:row>
    <x:row r="212" ht="72" customHeight="1">
      <x:c r="A212" s="24" t="str">
        <x:v>211</x:v>
      </x:c>
      <x:c r="B212" s="26" t="str">
        <x:v>B210-211</x:v>
      </x:c>
      <x:c r="C212" s="22" t="n">
        <x:v>2</x:v>
      </x:c>
      <x:c r="D212" s="22" t="str">
        <x:v>2/2</x:v>
      </x:c>
      <x:c r="E212" s="26" t="str">
        <x:v>EP01-S12</x:v>
      </x:c>
      <x:c r="F212" s="20" t="str">
        <x:v>11절 거리</x:v>
      </x:c>
      <x:c r="G212" s="20" t="str">
        <x:v>MS</x:v>
      </x:c>
      <x:c r="H212" s="22" t="str"/>
      <x:c r="I212" s="24" t="str">
        <x:v>07-2-3</x:v>
      </x:c>
      <x:c r="J212" s="20" t="str">
        <x:v>훈련장 근접판 엠버</x:v>
      </x:c>
      <x:c r="K212" s="16" t="str">
        <x:v>이를 악문다</x:v>
      </x:c>
      <x:c r="L212" s="16" t="str">
        <x:v>손을 짚고 일어선다. 이를 악문다</x:v>
      </x:c>
      <x:c r="M212" s="16" t="str">
        <x:v>대사 · 아인: 「…거리. 너무 붙었어.」</x:v>
      </x:c>
      <x:c r="N212" s="16" t="str"/>
      <x:c r="O212" s="16" t="str">
        <x:v>1,200px · 여백 중</x:v>
      </x:c>
      <x:c r="P212" s="16" t="str">
        <x:v>A woman pushing up off the floor, teeth clenched.</x:v>
      </x:c>
      <x:c r="Q212" s="16" t="str">
        <x:v>RANGE_FAILURE</x:v>
      </x:c>
      <x:c r="R212" s="16" t="str"/>
      <x:c r="S212" s="16" t="str">
        <x:v>낫은 타이밍만이 아니라 정확한 반경이 필요한 무기임을 실패로 학습</x:v>
      </x:c>
      <x:c r="T212" s="16" t="str">
        <x:v>후속 정보가 생기면 행동·배경의 의미를 재검토</x:v>
      </x:c>
      <x:c r="U212" s="16" t="str">
        <x:v>선택 / 대가 / 침묵</x:v>
      </x:c>
      <x:c r="V212" s="16" t="str">
        <x:v>거리 밴드·무기 충돌·실패 피드백</x:v>
      </x:c>
      <x:c r="W212" s="16"/>
      <x:c r="X212" s="22" t="str">
        <x:v>NONE</x:v>
      </x:c>
      <x:c r="Y212" s="16" t="str">
        <x:v>아인 왼쪽 견갑·오른쪽 건틀릿 좌우 고정 / GLOBAL-VIS-01</x:v>
      </x:c>
      <x:c r="Z212" s="22" t="str">
        <x:v>EDITORIAL_SPLIT</x:v>
      </x:c>
      <x:c r="AA212" s="22"/>
      <x:c r="AB212" s="16"/>
      <x:c r="AC212" s="16" t="str">
        <x:v>EP01_대본_전량_001-282(2).md</x:v>
      </x:c>
      <x:c r="AD212" s="22" t="n">
        <x:v>2575</x:v>
      </x:c>
      <x:c r="AE212" s="139" t="str">
        <x:v>NOT_APPLICABLE</x:v>
      </x:c>
      <x:c r="AF212" s="139" t="str">
        <x:v>NONE</x:v>
      </x:c>
    </x:row>
    <x:row r="213" ht="72" customHeight="1">
      <x:c r="A213" s="24" t="str">
        <x:v>212</x:v>
      </x:c>
      <x:c r="B213" s="26" t="str">
        <x:v>B212-212</x:v>
      </x:c>
      <x:c r="C213" s="22" t="n">
        <x:v>1</x:v>
      </x:c>
      <x:c r="D213" s="22" t="str">
        <x:v>1/1</x:v>
      </x:c>
      <x:c r="E213" s="26" t="str">
        <x:v>EP01-S12</x:v>
      </x:c>
      <x:c r="F213" s="20" t="str">
        <x:v>11절 거리</x:v>
      </x:c>
      <x:c r="G213" s="20" t="str">
        <x:v>인서트 도해</x:v>
      </x:c>
      <x:c r="H213" s="22" t="str">
        <x:v>📢🔴</x:v>
      </x:c>
      <x:c r="I213" s="24" t="str">
        <x:v>—</x:v>
      </x:c>
      <x:c r="J213" s="20" t="str">
        <x:v>배경 없음</x:v>
      </x:c>
      <x:c r="K213" s="16" t="str">
        <x:v>낫의 반경 도해. 원과 그 바깥. 너무 멀면 닿지 않고, 너무 가까우면 돌지 않는다</x:v>
      </x:c>
      <x:c r="L213" s="16" t="str">
        <x:v>낫의 반경 도해. 원과 그 바깥. 너무 멀면 닿지 않고, 너무 가까우면 돌지 않는다</x:v>
      </x:c>
      <x:c r="M213" s="16" t="str">
        <x:v>나레이션: 낫은 원이다. / 원을 그릴 반경이 확보되지 않으면, / 아무리 완벽한 순간에 들어가도 아무 일도 일어나지 않는다.</x:v>
      </x:c>
      <x:c r="N213" s="16" t="str"/>
      <x:c r="O213" s="16" t="str">
        <x:v>2,600px · 여백 중</x:v>
      </x:c>
      <x:c r="P213" s="16" t="str">
        <x:v>DIAGRAM. A clean circle with an amber radius line. Outside the circle: too far to reach. Inside: too close to rotate. Camera pulls back. This is information, not atmosphere.</x:v>
      </x:c>
      <x:c r="Q213" s="16" t="str">
        <x:v>RANGE_FAILURE</x:v>
      </x:c>
      <x:c r="R213" s="16" t="str">
        <x:v>EXPLICIT_RULE / NONNEGOTIABLE</x:v>
      </x:c>
      <x:c r="S213" s="16" t="str">
        <x:v>낫은 타이밍만이 아니라 정확한 반경이 필요한 무기임을 실패로 학습</x:v>
      </x:c>
      <x:c r="T213" s="16" t="str">
        <x:v>후속 정보가 생기면 행동·배경의 의미를 재검토</x:v>
      </x:c>
      <x:c r="U213" s="16" t="str">
        <x:v>거리 / 박자 / 원</x:v>
      </x:c>
      <x:c r="V213" s="16" t="str">
        <x:v>거리 밴드·무기 충돌·실패 피드백 / 도해는 튜토리얼 오버레이가 아니라 세계 내 설명 컷으로 유지</x:v>
      </x:c>
      <x:c r="W213" s="16"/>
      <x:c r="X213" s="22" t="str">
        <x:v>NONE</x:v>
      </x:c>
      <x:c r="Y213" s="16" t="str">
        <x:v>필수 정보·좌우·거리 판독성 우선 / 정보 컷; 분위기보다 이해 우선 / GLOBAL-VIS-01</x:v>
      </x:c>
      <x:c r="Z213" s="22" t="str">
        <x:v>SOURCE</x:v>
      </x:c>
      <x:c r="AA213" s="22"/>
      <x:c r="AB213" s="16"/>
      <x:c r="AC213" s="16" t="str">
        <x:v>EP01_대본_전량_001-282(2).md</x:v>
      </x:c>
      <x:c r="AD213" s="22" t="n">
        <x:v>2588</x:v>
      </x:c>
      <x:c r="AE213" s="139" t="str">
        <x:v>NOT_APPLICABLE</x:v>
      </x:c>
      <x:c r="AF213" s="139" t="str">
        <x:v>NONE</x:v>
      </x:c>
    </x:row>
    <x:row r="214" ht="72" customHeight="1">
      <x:c r="A214" s="24" t="str">
        <x:v>213</x:v>
      </x:c>
      <x:c r="B214" s="26" t="str">
        <x:v>B213-213</x:v>
      </x:c>
      <x:c r="C214" s="22" t="n">
        <x:v>1</x:v>
      </x:c>
      <x:c r="D214" s="22" t="str">
        <x:v>1/1</x:v>
      </x:c>
      <x:c r="E214" s="26" t="str">
        <x:v>EP01-S12</x:v>
      </x:c>
      <x:c r="F214" s="20" t="str">
        <x:v>11절 거리</x:v>
      </x:c>
      <x:c r="G214" s="20" t="str">
        <x:v>MS</x:v>
      </x:c>
      <x:c r="H214" s="22" t="str"/>
      <x:c r="I214" s="24" t="str">
        <x:v>07-2-3</x:v>
      </x:c>
      <x:c r="J214" s="20" t="str">
        <x:v>훈련장 근접판 엠버</x:v>
      </x:c>
      <x:c r="K214" s="16" t="str">
        <x:v>아인이 숨을 고른다</x:v>
      </x:c>
      <x:c r="L214" s="16" t="str">
        <x:v>아인이 숨을 고른다</x:v>
      </x:c>
      <x:c r="M214" s="16" t="str">
        <x:v>나레이션: 2년 동안 그녀는 그 좁은 띠 안에서만 싸웠다. / 그리고 오늘, 처음으로 그 띠를 벗어났다.</x:v>
      </x:c>
      <x:c r="N214" s="16" t="str"/>
      <x:c r="O214" s="16" t="str">
        <x:v>900px · 여백 중</x:v>
      </x:c>
      <x:c r="P214" s="16" t="str">
        <x:v>A woman catching her breath.</x:v>
      </x:c>
      <x:c r="Q214" s="16" t="str">
        <x:v>RANGE_FAILURE</x:v>
      </x:c>
      <x:c r="R214" s="16" t="str"/>
      <x:c r="S214" s="16" t="str">
        <x:v>낫은 타이밍만이 아니라 정확한 반경이 필요한 무기임을 실패로 학습</x:v>
      </x:c>
      <x:c r="T214" s="16" t="str">
        <x:v>후속 정보가 생기면 행동·배경의 의미를 재검토</x:v>
      </x:c>
      <x:c r="U214" s="16" t="str">
        <x:v>선택 / 대가 / 침묵</x:v>
      </x:c>
      <x:c r="V214" s="16" t="str">
        <x:v>거리 밴드·무기 충돌·실패 피드백</x:v>
      </x:c>
      <x:c r="W214" s="16"/>
      <x:c r="X214" s="22" t="str">
        <x:v>NONE</x:v>
      </x:c>
      <x:c r="Y214" s="16" t="str">
        <x:v>아인 왼쪽 견갑·오른쪽 건틀릿 좌우 고정 / GLOBAL-VIS-01</x:v>
      </x:c>
      <x:c r="Z214" s="22" t="str">
        <x:v>SOURCE</x:v>
      </x:c>
      <x:c r="AA214" s="22"/>
      <x:c r="AB214" s="16"/>
      <x:c r="AC214" s="16" t="str">
        <x:v>EP01_대본_전량_001-282(2).md</x:v>
      </x:c>
      <x:c r="AD214" s="22" t="n">
        <x:v>2601</x:v>
      </x:c>
      <x:c r="AE214" s="139" t="str">
        <x:v>NOT_APPLICABLE</x:v>
      </x:c>
      <x:c r="AF214" s="139" t="str">
        <x:v>NONE</x:v>
      </x:c>
    </x:row>
    <x:row r="215" ht="72" customHeight="1">
      <x:c r="A215" s="24" t="str">
        <x:v>214</x:v>
      </x:c>
      <x:c r="B215" s="26" t="str">
        <x:v>B214-214</x:v>
      </x:c>
      <x:c r="C215" s="22" t="n">
        <x:v>1</x:v>
      </x:c>
      <x:c r="D215" s="22" t="str">
        <x:v>1/1</x:v>
      </x:c>
      <x:c r="E215" s="26" t="str">
        <x:v>EP01-S12</x:v>
      </x:c>
      <x:c r="F215" s="20" t="str">
        <x:v>11절 거리</x:v>
      </x:c>
      <x:c r="G215" s="20" t="str">
        <x:v>극세로</x:v>
      </x:c>
      <x:c r="H215" s="22" t="str"/>
      <x:c r="I215" s="24" t="str">
        <x:v>07-2-3</x:v>
      </x:c>
      <x:c r="J215" s="20" t="str">
        <x:v>훈련장 근접판 엠버</x:v>
      </x:c>
      <x:c r="K215" s="16" t="str">
        <x:v>놈의 회전이 본격적으로 풀린다</x:v>
      </x:c>
      <x:c r="L215" s="16" t="str">
        <x:v>놈의 회전이 본격적으로 풀린다</x:v>
      </x:c>
      <x:c r="M215" s="16" t="str"/>
      <x:c r="N215" s="16" t="str">
        <x:v>부우웅—!!</x:v>
      </x:c>
      <x:c r="O215" s="16" t="str">
        <x:v>1,000px · 여백 중</x:v>
      </x:c>
      <x:c r="P215" s="16" t="str">
        <x:v>A construct's full rotation unwinding.</x:v>
      </x:c>
      <x:c r="Q215" s="16" t="str">
        <x:v>RANGE_FAILURE</x:v>
      </x:c>
      <x:c r="R215" s="16" t="str"/>
      <x:c r="S215" s="16" t="str">
        <x:v>낫은 타이밍만이 아니라 정확한 반경이 필요한 무기임을 실패로 학습</x:v>
      </x:c>
      <x:c r="T215" s="16" t="str">
        <x:v>후속 정보가 생기면 행동·배경의 의미를 재검토</x:v>
      </x:c>
      <x:c r="U215" s="16" t="str">
        <x:v>선택 / 대가 / 침묵</x:v>
      </x:c>
      <x:c r="V215" s="16" t="str">
        <x:v>거리 밴드·무기 충돌·실패 피드백</x:v>
      </x:c>
      <x:c r="W215" s="16"/>
      <x:c r="X215" s="22" t="str">
        <x:v>NONE</x:v>
      </x:c>
      <x:c r="Y215" s="16" t="str">
        <x:v>GLOBAL-VIS-01</x:v>
      </x:c>
      <x:c r="Z215" s="22" t="str">
        <x:v>SOURCE</x:v>
      </x:c>
      <x:c r="AA215" s="22"/>
      <x:c r="AB215" s="16"/>
      <x:c r="AC215" s="16" t="str">
        <x:v>EP01_대본_전량_001-282(2).md</x:v>
      </x:c>
      <x:c r="AD215" s="22" t="n">
        <x:v>2614</x:v>
      </x:c>
      <x:c r="AE215" s="139" t="str">
        <x:v>NOT_APPLICABLE</x:v>
      </x:c>
      <x:c r="AF215" s="139" t="str">
        <x:v>NONE</x:v>
      </x:c>
    </x:row>
    <x:row r="216" ht="72" customHeight="1">
      <x:c r="A216" s="24" t="str">
        <x:v>215</x:v>
      </x:c>
      <x:c r="B216" s="26" t="str">
        <x:v>B215-215</x:v>
      </x:c>
      <x:c r="C216" s="22" t="n">
        <x:v>1</x:v>
      </x:c>
      <x:c r="D216" s="22" t="str">
        <x:v>1/1</x:v>
      </x:c>
      <x:c r="E216" s="26" t="str">
        <x:v>EP01-S12</x:v>
      </x:c>
      <x:c r="F216" s="20" t="str">
        <x:v>11절 거리</x:v>
      </x:c>
      <x:c r="G216" s="20" t="str">
        <x:v>WIDE</x:v>
      </x:c>
      <x:c r="H216" s="22" t="str">
        <x:v>⭐</x:v>
      </x:c>
      <x:c r="I216" s="24" t="str">
        <x:v>07-2</x:v>
      </x:c>
      <x:c r="J216" s="20" t="str">
        <x:v>훈련장 엠버</x:v>
      </x:c>
      <x:c r="K216" s="16" t="str">
        <x:v>그 사이로 산 같은 것이 뛰어든다</x:v>
      </x:c>
      <x:c r="L216" s="16" t="str">
        <x:v>그 사이로 산 같은 것이 뛰어든다</x:v>
      </x:c>
      <x:c r="M216" s="16" t="str">
        <x:v>대사 · 카인: 「비켜!」</x:v>
      </x:c>
      <x:c r="N216" s="16" t="str"/>
      <x:c r="O216" s="16" t="str">
        <x:v>2,400px · 여백 중</x:v>
      </x:c>
      <x:c r="P216" s="16" t="str">
        <x:v>A huge man hurling himself into the gap between them.</x:v>
      </x:c>
      <x:c r="Q216" s="16" t="str">
        <x:v>RANGE_FAILURE</x:v>
      </x:c>
      <x:c r="R216" s="16" t="str">
        <x:v>SIGNATURE</x:v>
      </x:c>
      <x:c r="S216" s="16" t="str">
        <x:v>낫은 타이밍만이 아니라 정확한 반경이 필요한 무기임을 실패로 학습</x:v>
      </x:c>
      <x:c r="T216" s="16" t="str">
        <x:v>시그니처 상징의 기원</x:v>
      </x:c>
      <x:c r="U216" s="16" t="str">
        <x:v>선택 / 대가 / 침묵</x:v>
      </x:c>
      <x:c r="V216" s="16" t="str">
        <x:v>거리 밴드·무기 충돌·실패 피드백</x:v>
      </x:c>
      <x:c r="W216" s="16"/>
      <x:c r="X216" s="22" t="str">
        <x:v>NONE</x:v>
      </x:c>
      <x:c r="Y216" s="16" t="str">
        <x:v>GLOBAL-VIS-01</x:v>
      </x:c>
      <x:c r="Z216" s="22" t="str">
        <x:v>SOURCE</x:v>
      </x:c>
      <x:c r="AA216" s="22"/>
      <x:c r="AB216" s="16"/>
      <x:c r="AC216" s="16" t="str">
        <x:v>EP01_대본_전량_001-282(2).md</x:v>
      </x:c>
      <x:c r="AD216" s="22" t="n">
        <x:v>2627</x:v>
      </x:c>
      <x:c r="AE216" s="139" t="str">
        <x:v>NOT_APPLICABLE</x:v>
      </x:c>
      <x:c r="AF216" s="139" t="str">
        <x:v>NONE</x:v>
      </x:c>
    </x:row>
    <x:row r="217" ht="72" customHeight="1">
      <x:c r="A217" s="24" t="str">
        <x:v>216</x:v>
      </x:c>
      <x:c r="B217" s="26" t="str">
        <x:v>B216-217</x:v>
      </x:c>
      <x:c r="C217" s="22" t="n">
        <x:v>2</x:v>
      </x:c>
      <x:c r="D217" s="22" t="str">
        <x:v>1/2</x:v>
      </x:c>
      <x:c r="E217" s="26" t="str">
        <x:v>EP01-S13</x:v>
      </x:c>
      <x:c r="F217" s="20" t="str">
        <x:v>12절 되돌려주는 법</x:v>
      </x:c>
      <x:c r="G217" s="20" t="str">
        <x:v>극세로</x:v>
      </x:c>
      <x:c r="H217" s="22" t="str">
        <x:v>⭐</x:v>
      </x:c>
      <x:c r="I217" s="24" t="str">
        <x:v>07-2</x:v>
      </x:c>
      <x:c r="J217" s="20" t="str">
        <x:v>훈련장 엠버</x:v>
      </x:c>
      <x:c r="K217" s="16" t="str">
        <x:v>가로막는다</x:v>
      </x:c>
      <x:c r="L217" s="16" t="str">
        <x:v>가로막는다 → 대검이 바닥에 수직으로 꽂힌다</x:v>
      </x:c>
      <x:c r="M217" s="16" t="str"/>
      <x:c r="N217" s="16" t="str">
        <x:v>쾅!</x:v>
      </x:c>
      <x:c r="O217" s="16" t="str">
        <x:v>2,600px · 여백 중</x:v>
      </x:c>
      <x:c r="P217" s="16" t="str">
        <x:v>A man blocking the way, then driving a greatsword vertically into the concrete floor.</x:v>
      </x:c>
      <x:c r="Q217" s="16" t="str">
        <x:v>GUARD_COUNTER</x:v>
      </x:c>
      <x:c r="R217" s="16" t="str">
        <x:v>SIGNATURE</x:v>
      </x:c>
      <x:c r="S217" s="16" t="str">
        <x:v>카인이 힘을 받지 않고 되돌리는 고정·가드 문법을 학습</x:v>
      </x:c>
      <x:c r="T217" s="16" t="str">
        <x:v>시그니처 상징의 기원</x:v>
      </x:c>
      <x:c r="U217" s="16" t="str">
        <x:v>선택 / 대가 / 침묵</x:v>
      </x:c>
      <x:c r="V217" s="16" t="str">
        <x:v>퍼펙트 가드·힘 되돌림·고정 창</x:v>
      </x:c>
      <x:c r="W217" s="16"/>
      <x:c r="X217" s="22" t="str">
        <x:v>NONE</x:v>
      </x:c>
      <x:c r="Y217" s="16" t="str">
        <x:v>GLOBAL-VIS-01</x:v>
      </x:c>
      <x:c r="Z217" s="22" t="str">
        <x:v>SOURCE_SPLIT</x:v>
      </x:c>
      <x:c r="AA217" s="22"/>
      <x:c r="AB217" s="16"/>
      <x:c r="AC217" s="16" t="str">
        <x:v>EP01_대본_전량_001-282(2).md</x:v>
      </x:c>
      <x:c r="AD217" s="22" t="n">
        <x:v>2646</x:v>
      </x:c>
      <x:c r="AE217" s="139" t="str">
        <x:v>NOT_APPLICABLE</x:v>
      </x:c>
      <x:c r="AF217" s="139" t="str">
        <x:v>NONE</x:v>
      </x:c>
    </x:row>
    <x:row r="218" ht="72" customHeight="1">
      <x:c r="A218" s="24" t="str">
        <x:v>217</x:v>
      </x:c>
      <x:c r="B218" s="26" t="str">
        <x:v>B216-217</x:v>
      </x:c>
      <x:c r="C218" s="22" t="n">
        <x:v>2</x:v>
      </x:c>
      <x:c r="D218" s="22" t="str">
        <x:v>2/2</x:v>
      </x:c>
      <x:c r="E218" s="26" t="str">
        <x:v>EP01-S13</x:v>
      </x:c>
      <x:c r="F218" s="20" t="str">
        <x:v>12절 되돌려주는 법</x:v>
      </x:c>
      <x:c r="G218" s="20" t="str">
        <x:v>극세로</x:v>
      </x:c>
      <x:c r="H218" s="22" t="str">
        <x:v>⭐</x:v>
      </x:c>
      <x:c r="I218" s="24" t="str">
        <x:v>07-2</x:v>
      </x:c>
      <x:c r="J218" s="20" t="str">
        <x:v>훈련장 엠버</x:v>
      </x:c>
      <x:c r="K218" s="16" t="str">
        <x:v>대검이 바닥에 수직으로 꽂힌다</x:v>
      </x:c>
      <x:c r="L218" s="16" t="str">
        <x:v>가로막는다 → 대검이 바닥에 수직으로 꽂힌다</x:v>
      </x:c>
      <x:c r="M218" s="16" t="str"/>
      <x:c r="N218" s="16" t="str">
        <x:v>쾅!</x:v>
      </x:c>
      <x:c r="O218" s="16" t="str">
        <x:v>2,600px · 여백 중</x:v>
      </x:c>
      <x:c r="P218" s="16" t="str">
        <x:v>A man blocking the way, then driving a greatsword vertically into the concrete floor.</x:v>
      </x:c>
      <x:c r="Q218" s="16" t="str">
        <x:v>GUARD_COUNTER</x:v>
      </x:c>
      <x:c r="R218" s="16" t="str">
        <x:v>SIGNATURE</x:v>
      </x:c>
      <x:c r="S218" s="16" t="str">
        <x:v>카인이 힘을 받지 않고 되돌리는 고정·가드 문법을 학습</x:v>
      </x:c>
      <x:c r="T218" s="16" t="str">
        <x:v>시그니처 상징의 기원</x:v>
      </x:c>
      <x:c r="U218" s="16" t="str">
        <x:v>선택 / 대가 / 침묵</x:v>
      </x:c>
      <x:c r="V218" s="16" t="str">
        <x:v>퍼펙트 가드·힘 되돌림·고정 창</x:v>
      </x:c>
      <x:c r="W218" s="16"/>
      <x:c r="X218" s="22" t="str">
        <x:v>NONE</x:v>
      </x:c>
      <x:c r="Y218" s="16" t="str">
        <x:v>GLOBAL-VIS-01</x:v>
      </x:c>
      <x:c r="Z218" s="22" t="str">
        <x:v>SOURCE_SPLIT</x:v>
      </x:c>
      <x:c r="AA218" s="22"/>
      <x:c r="AB218" s="16"/>
      <x:c r="AC218" s="16" t="str">
        <x:v>EP01_대본_전량_001-282(2).md</x:v>
      </x:c>
      <x:c r="AD218" s="22" t="n">
        <x:v>2646</x:v>
      </x:c>
      <x:c r="AE218" s="139" t="str">
        <x:v>NOT_APPLICABLE</x:v>
      </x:c>
      <x:c r="AF218" s="139" t="str">
        <x:v>NONE</x:v>
      </x:c>
    </x:row>
    <x:row r="219" ht="72" customHeight="1">
      <x:c r="A219" s="24" t="str">
        <x:v>218</x:v>
      </x:c>
      <x:c r="B219" s="26" t="str">
        <x:v>B218-221</x:v>
      </x:c>
      <x:c r="C219" s="22" t="n">
        <x:v>4</x:v>
      </x:c>
      <x:c r="D219" s="22" t="str">
        <x:v>1/4</x:v>
      </x:c>
      <x:c r="E219" s="26" t="str">
        <x:v>EP01-S13</x:v>
      </x:c>
      <x:c r="F219" s="20" t="str">
        <x:v>12절 되돌려주는 법</x:v>
      </x:c>
      <x:c r="G219" s="20" t="str">
        <x:v>세로 4단</x:v>
      </x:c>
      <x:c r="H219" s="22" t="str">
        <x:v>⭐</x:v>
      </x:c>
      <x:c r="I219" s="24" t="str">
        <x:v>07-2-3</x:v>
      </x:c>
      <x:c r="J219" s="20" t="str">
        <x:v>훈련장 근접판 엠버</x:v>
      </x:c>
      <x:c r="K219" s="16" t="str">
        <x:v>두 발이 땅에</x:v>
      </x:c>
      <x:c r="L219" s="16" t="str">
        <x:v>① 두 발이 땅에 ② 무기가 땅에 ③ 코어 출력이 대검 표면에 얇게 펴 발린다 ④ 반 호흡</x:v>
      </x:c>
      <x:c r="M219" s="16" t="str">
        <x:v>나레이션: 두 발이 땅에. 무기가 땅에. 그리고 반 호흡.</x:v>
      </x:c>
      <x:c r="N219" s="16" t="str"/>
      <x:c r="O219" s="16" t="str">
        <x:v>3,000px · 여백 넓</x:v>
      </x:c>
      <x:c r="P219" s="16" t="str">
        <x:v>Four stacked panels: two boots planted, a blade planted, amber energy spreading THINLY across the sword surface like a coat, then a held half-breath.</x:v>
      </x:c>
      <x:c r="Q219" s="16" t="str">
        <x:v>GUARD_COUNTER</x:v>
      </x:c>
      <x:c r="R219" s="16" t="str">
        <x:v>SIGNATURE</x:v>
      </x:c>
      <x:c r="S219" s="16" t="str">
        <x:v>카인이 힘을 받지 않고 되돌리는 고정·가드 문법을 학습</x:v>
      </x:c>
      <x:c r="T219" s="16" t="str">
        <x:v>시그니처 상징의 기원</x:v>
      </x:c>
      <x:c r="U219" s="16" t="str">
        <x:v>거리 / 보호 / 선택</x:v>
      </x:c>
      <x:c r="V219" s="16" t="str">
        <x:v>퍼펙트 가드·힘 되돌림·고정 창</x:v>
      </x:c>
      <x:c r="W219" s="16"/>
      <x:c r="X219" s="22" t="str">
        <x:v>NONE</x:v>
      </x:c>
      <x:c r="Y219" s="16" t="str">
        <x:v>GLOBAL-VIS-01</x:v>
      </x:c>
      <x:c r="Z219" s="22" t="str">
        <x:v>SOURCE_SPLIT</x:v>
      </x:c>
      <x:c r="AA219" s="22"/>
      <x:c r="AB219" s="16"/>
      <x:c r="AC219" s="16" t="str">
        <x:v>EP01_대본_전량_001-282(2).md</x:v>
      </x:c>
      <x:c r="AD219" s="22" t="n">
        <x:v>2659</x:v>
      </x:c>
      <x:c r="AE219" s="139" t="str">
        <x:v>NOT_APPLICABLE</x:v>
      </x:c>
      <x:c r="AF219" s="139" t="str">
        <x:v>NONE</x:v>
      </x:c>
    </x:row>
    <x:row r="220" ht="72" customHeight="1">
      <x:c r="A220" s="24" t="str">
        <x:v>219</x:v>
      </x:c>
      <x:c r="B220" s="26" t="str">
        <x:v>B218-221</x:v>
      </x:c>
      <x:c r="C220" s="22" t="n">
        <x:v>4</x:v>
      </x:c>
      <x:c r="D220" s="22" t="str">
        <x:v>2/4</x:v>
      </x:c>
      <x:c r="E220" s="26" t="str">
        <x:v>EP01-S13</x:v>
      </x:c>
      <x:c r="F220" s="20" t="str">
        <x:v>12절 되돌려주는 법</x:v>
      </x:c>
      <x:c r="G220" s="20" t="str">
        <x:v>세로 4단</x:v>
      </x:c>
      <x:c r="H220" s="22" t="str">
        <x:v>⭐</x:v>
      </x:c>
      <x:c r="I220" s="24" t="str">
        <x:v>07-2-3</x:v>
      </x:c>
      <x:c r="J220" s="20" t="str">
        <x:v>훈련장 근접판 엠버</x:v>
      </x:c>
      <x:c r="K220" s="16" t="str">
        <x:v>무기가 땅에</x:v>
      </x:c>
      <x:c r="L220" s="16" t="str">
        <x:v>① 두 발이 땅에 ② 무기가 땅에 ③ 코어 출력이 대검 표면에 얇게 펴 발린다 ④ 반 호흡</x:v>
      </x:c>
      <x:c r="M220" s="16" t="str">
        <x:v>나레이션: 두 발이 땅에. 무기가 땅에. 그리고 반 호흡.</x:v>
      </x:c>
      <x:c r="N220" s="16" t="str"/>
      <x:c r="O220" s="16" t="str">
        <x:v>3,000px · 여백 넓</x:v>
      </x:c>
      <x:c r="P220" s="16" t="str">
        <x:v>Four stacked panels: two boots planted, a blade planted, amber energy spreading THINLY across the sword surface like a coat, then a held half-breath.</x:v>
      </x:c>
      <x:c r="Q220" s="16" t="str">
        <x:v>GUARD_COUNTER</x:v>
      </x:c>
      <x:c r="R220" s="16" t="str">
        <x:v>SIGNATURE</x:v>
      </x:c>
      <x:c r="S220" s="16" t="str">
        <x:v>카인이 힘을 받지 않고 되돌리는 고정·가드 문법을 학습</x:v>
      </x:c>
      <x:c r="T220" s="16" t="str">
        <x:v>시그니처 상징의 기원</x:v>
      </x:c>
      <x:c r="U220" s="16" t="str">
        <x:v>선택 / 대가 / 침묵</x:v>
      </x:c>
      <x:c r="V220" s="16" t="str">
        <x:v>퍼펙트 가드·힘 되돌림·고정 창</x:v>
      </x:c>
      <x:c r="W220" s="16"/>
      <x:c r="X220" s="22" t="str">
        <x:v>NONE</x:v>
      </x:c>
      <x:c r="Y220" s="16" t="str">
        <x:v>GLOBAL-VIS-01</x:v>
      </x:c>
      <x:c r="Z220" s="22" t="str">
        <x:v>SOURCE_SPLIT</x:v>
      </x:c>
      <x:c r="AA220" s="22"/>
      <x:c r="AB220" s="16"/>
      <x:c r="AC220" s="16" t="str">
        <x:v>EP01_대본_전량_001-282(2).md</x:v>
      </x:c>
      <x:c r="AD220" s="22" t="n">
        <x:v>2659</x:v>
      </x:c>
      <x:c r="AE220" s="139" t="str">
        <x:v>NOT_APPLICABLE</x:v>
      </x:c>
      <x:c r="AF220" s="139" t="str">
        <x:v>NONE</x:v>
      </x:c>
    </x:row>
    <x:row r="221" ht="72" customHeight="1">
      <x:c r="A221" s="24" t="str">
        <x:v>220</x:v>
      </x:c>
      <x:c r="B221" s="26" t="str">
        <x:v>B218-221</x:v>
      </x:c>
      <x:c r="C221" s="22" t="n">
        <x:v>4</x:v>
      </x:c>
      <x:c r="D221" s="22" t="str">
        <x:v>3/4</x:v>
      </x:c>
      <x:c r="E221" s="26" t="str">
        <x:v>EP01-S13</x:v>
      </x:c>
      <x:c r="F221" s="20" t="str">
        <x:v>12절 되돌려주는 법</x:v>
      </x:c>
      <x:c r="G221" s="20" t="str">
        <x:v>세로 4단</x:v>
      </x:c>
      <x:c r="H221" s="22" t="str">
        <x:v>⭐</x:v>
      </x:c>
      <x:c r="I221" s="24" t="str">
        <x:v>07-2-3</x:v>
      </x:c>
      <x:c r="J221" s="20" t="str">
        <x:v>훈련장 근접판 엠버</x:v>
      </x:c>
      <x:c r="K221" s="16" t="str">
        <x:v>코어 출력이 대검 표면에 얇게 펴 발린다</x:v>
      </x:c>
      <x:c r="L221" s="16" t="str">
        <x:v>① 두 발이 땅에 ② 무기가 땅에 ③ 코어 출력이 대검 표면에 얇게 펴 발린다 ④ 반 호흡</x:v>
      </x:c>
      <x:c r="M221" s="16" t="str">
        <x:v>나레이션: 두 발이 땅에. 무기가 땅에. 그리고 반 호흡.</x:v>
      </x:c>
      <x:c r="N221" s="16" t="str"/>
      <x:c r="O221" s="16" t="str">
        <x:v>3,000px · 여백 넓</x:v>
      </x:c>
      <x:c r="P221" s="16" t="str">
        <x:v>Four stacked panels: two boots planted, a blade planted, amber energy spreading THINLY across the sword surface like a coat, then a held half-breath.</x:v>
      </x:c>
      <x:c r="Q221" s="16" t="str">
        <x:v>GUARD_COUNTER</x:v>
      </x:c>
      <x:c r="R221" s="16" t="str">
        <x:v>SIGNATURE</x:v>
      </x:c>
      <x:c r="S221" s="16" t="str">
        <x:v>카인이 힘을 받지 않고 되돌리는 고정·가드 문법을 학습</x:v>
      </x:c>
      <x:c r="T221" s="16" t="str">
        <x:v>시그니처 상징의 기원</x:v>
      </x:c>
      <x:c r="U221" s="16" t="str">
        <x:v>거리 / 보호 / 선택 / 각인</x:v>
      </x:c>
      <x:c r="V221" s="16" t="str">
        <x:v>퍼펙트 가드·힘 되돌림·고정 창</x:v>
      </x:c>
      <x:c r="W221" s="16"/>
      <x:c r="X221" s="22" t="str">
        <x:v>NONE</x:v>
      </x:c>
      <x:c r="Y221" s="16" t="str">
        <x:v>GLOBAL-VIS-01</x:v>
      </x:c>
      <x:c r="Z221" s="22" t="str">
        <x:v>SOURCE_SPLIT</x:v>
      </x:c>
      <x:c r="AA221" s="22"/>
      <x:c r="AB221" s="16"/>
      <x:c r="AC221" s="16" t="str">
        <x:v>EP01_대본_전량_001-282(2).md</x:v>
      </x:c>
      <x:c r="AD221" s="22" t="n">
        <x:v>2659</x:v>
      </x:c>
      <x:c r="AE221" s="139" t="str">
        <x:v>NOT_APPLICABLE</x:v>
      </x:c>
      <x:c r="AF221" s="139" t="str">
        <x:v>NONE</x:v>
      </x:c>
    </x:row>
    <x:row r="222" ht="72" customHeight="1">
      <x:c r="A222" s="24" t="str">
        <x:v>221</x:v>
      </x:c>
      <x:c r="B222" s="26" t="str">
        <x:v>B218-221</x:v>
      </x:c>
      <x:c r="C222" s="22" t="n">
        <x:v>4</x:v>
      </x:c>
      <x:c r="D222" s="22" t="str">
        <x:v>4/4</x:v>
      </x:c>
      <x:c r="E222" s="26" t="str">
        <x:v>EP01-S13</x:v>
      </x:c>
      <x:c r="F222" s="20" t="str">
        <x:v>12절 되돌려주는 법</x:v>
      </x:c>
      <x:c r="G222" s="20" t="str">
        <x:v>세로 4단</x:v>
      </x:c>
      <x:c r="H222" s="22" t="str">
        <x:v>⭐</x:v>
      </x:c>
      <x:c r="I222" s="24" t="str">
        <x:v>07-2-3</x:v>
      </x:c>
      <x:c r="J222" s="20" t="str">
        <x:v>훈련장 근접판 엠버</x:v>
      </x:c>
      <x:c r="K222" s="16" t="str">
        <x:v>반 호흡</x:v>
      </x:c>
      <x:c r="L222" s="16" t="str">
        <x:v>① 두 발이 땅에 ② 무기가 땅에 ③ 코어 출력이 대검 표면에 얇게 펴 발린다 ④ 반 호흡</x:v>
      </x:c>
      <x:c r="M222" s="16" t="str">
        <x:v>나레이션: 두 발이 땅에. 무기가 땅에. 그리고 반 호흡.</x:v>
      </x:c>
      <x:c r="N222" s="16" t="str"/>
      <x:c r="O222" s="16" t="str">
        <x:v>3,000px · 여백 넓</x:v>
      </x:c>
      <x:c r="P222" s="16" t="str">
        <x:v>Four stacked panels: two boots planted, a blade planted, amber energy spreading THINLY across the sword surface like a coat, then a held half-breath.</x:v>
      </x:c>
      <x:c r="Q222" s="16" t="str">
        <x:v>GUARD_COUNTER</x:v>
      </x:c>
      <x:c r="R222" s="16" t="str">
        <x:v>SIGNATURE</x:v>
      </x:c>
      <x:c r="S222" s="16" t="str">
        <x:v>카인이 힘을 받지 않고 되돌리는 고정·가드 문법을 학습</x:v>
      </x:c>
      <x:c r="T222" s="16" t="str">
        <x:v>시그니처 상징의 기원</x:v>
      </x:c>
      <x:c r="U222" s="16" t="str">
        <x:v>선택 / 대가 / 침묵</x:v>
      </x:c>
      <x:c r="V222" s="16" t="str">
        <x:v>퍼펙트 가드·힘 되돌림·고정 창</x:v>
      </x:c>
      <x:c r="W222" s="16"/>
      <x:c r="X222" s="22" t="str">
        <x:v>NONE</x:v>
      </x:c>
      <x:c r="Y222" s="16" t="str">
        <x:v>GLOBAL-VIS-01</x:v>
      </x:c>
      <x:c r="Z222" s="22" t="str">
        <x:v>SOURCE_SPLIT</x:v>
      </x:c>
      <x:c r="AA222" s="22"/>
      <x:c r="AB222" s="16"/>
      <x:c r="AC222" s="16" t="str">
        <x:v>EP01_대본_전량_001-282(2).md</x:v>
      </x:c>
      <x:c r="AD222" s="22" t="n">
        <x:v>2659</x:v>
      </x:c>
      <x:c r="AE222" s="139" t="str">
        <x:v>NOT_APPLICABLE</x:v>
      </x:c>
      <x:c r="AF222" s="139" t="str">
        <x:v>NONE</x:v>
      </x:c>
    </x:row>
    <x:row r="223" ht="72" customHeight="1">
      <x:c r="A223" s="24" t="str">
        <x:v>222</x:v>
      </x:c>
      <x:c r="B223" s="26" t="str">
        <x:v>B222-222</x:v>
      </x:c>
      <x:c r="C223" s="22" t="n">
        <x:v>1</x:v>
      </x:c>
      <x:c r="D223" s="22" t="str">
        <x:v>1/1</x:v>
      </x:c>
      <x:c r="E223" s="26" t="str">
        <x:v>EP01-S13</x:v>
      </x:c>
      <x:c r="F223" s="20" t="str">
        <x:v>12절 되돌려주는 법</x:v>
      </x:c>
      <x:c r="G223" s="20" t="str">
        <x:v>극세로 블리드</x:v>
      </x:c>
      <x:c r="H223" s="22" t="str">
        <x:v>⭐</x:v>
      </x:c>
      <x:c r="I223" s="24" t="str">
        <x:v>07-2-3</x:v>
      </x:c>
      <x:c r="J223" s="20" t="str">
        <x:v>훈련장 근접판 엠버</x:v>
      </x:c>
      <x:c r="K223" s="16" t="str">
        <x:v>콰창—!! 대검 표면에 주황 충격파가 얇게 번지며 놈의 팔과 정면 충돌</x:v>
      </x:c>
      <x:c r="L223" s="16" t="str">
        <x:v>콰창—!! 대검 표면에 주황 충격파가 얇게 번지며 놈의 팔과 정면 충돌</x:v>
      </x:c>
      <x:c r="M223" s="16" t="str"/>
      <x:c r="N223" s="16" t="str">
        <x:v>콰창—!!</x:v>
      </x:c>
      <x:c r="O223" s="16" t="str">
        <x:v>3,900px · 여백 중</x:v>
      </x:c>
      <x:c r="P223" s="16" t="str">
        <x:v>PEAK FLASH. A thin amber shockwave spreading across a greatsword as it meets a construct's arm head on. Brightest moment of the episode. Not a wall — a trampoline.</x:v>
      </x:c>
      <x:c r="Q223" s="16" t="str">
        <x:v>GUARD_COUNTER</x:v>
      </x:c>
      <x:c r="R223" s="16" t="str">
        <x:v>SIGNATURE</x:v>
      </x:c>
      <x:c r="S223" s="16" t="str">
        <x:v>카인이 힘을 받지 않고 되돌리는 고정·가드 문법을 학습</x:v>
      </x:c>
      <x:c r="T223" s="16" t="str">
        <x:v>시그니처 상징의 기원</x:v>
      </x:c>
      <x:c r="U223" s="16" t="str">
        <x:v>각인 / 성장 대가 / 수거</x:v>
      </x:c>
      <x:c r="V223" s="16" t="str">
        <x:v>퍼펙트 가드·힘 되돌림·고정 창</x:v>
      </x:c>
      <x:c r="W223" s="16"/>
      <x:c r="X223" s="22" t="str">
        <x:v>NONE</x:v>
      </x:c>
      <x:c r="Y223" s="16" t="str">
        <x:v>GLOBAL-VIS-01</x:v>
      </x:c>
      <x:c r="Z223" s="22" t="str">
        <x:v>SOURCE</x:v>
      </x:c>
      <x:c r="AA223" s="22"/>
      <x:c r="AB223" s="16"/>
      <x:c r="AC223" s="16" t="str">
        <x:v>EP01_대본_전량_001-282(2).md</x:v>
      </x:c>
      <x:c r="AD223" s="22" t="n">
        <x:v>2672</x:v>
      </x:c>
      <x:c r="AE223" s="139" t="str">
        <x:v>NOT_APPLICABLE</x:v>
      </x:c>
      <x:c r="AF223" s="139" t="str">
        <x:v>NONE</x:v>
      </x:c>
    </x:row>
    <x:row r="224" ht="72" customHeight="1">
      <x:c r="A224" s="24" t="str">
        <x:v>223</x:v>
      </x:c>
      <x:c r="B224" s="26" t="str">
        <x:v>B223-223</x:v>
      </x:c>
      <x:c r="C224" s="22" t="n">
        <x:v>1</x:v>
      </x:c>
      <x:c r="D224" s="22" t="str">
        <x:v>1/1</x:v>
      </x:c>
      <x:c r="E224" s="26" t="str">
        <x:v>EP01-S13</x:v>
      </x:c>
      <x:c r="F224" s="20" t="str">
        <x:v>12절 되돌려주는 법</x:v>
      </x:c>
      <x:c r="G224" s="20" t="str">
        <x:v>WIDE</x:v>
      </x:c>
      <x:c r="H224" s="22" t="str"/>
      <x:c r="I224" s="24" t="str">
        <x:v>07-2</x:v>
      </x:c>
      <x:c r="J224" s="20" t="str">
        <x:v>훈련장 엠버</x:v>
      </x:c>
      <x:c r="K224" s="16" t="str">
        <x:v>되돌아간 힘에 3미터짜리 몸통이 통째로 밀린다</x:v>
      </x:c>
      <x:c r="L224" s="16" t="str">
        <x:v>되돌아간 힘에 3미터짜리 몸통이 통째로 밀린다</x:v>
      </x:c>
      <x:c r="M224" s="16" t="str"/>
      <x:c r="N224" s="16" t="str"/>
      <x:c r="O224" s="16" t="str">
        <x:v>1,300px · 여백 중</x:v>
      </x:c>
      <x:c r="P224" s="16" t="str">
        <x:v>A three meter construct pushed back bodily by returned force.</x:v>
      </x:c>
      <x:c r="Q224" s="16" t="str">
        <x:v>GUARD_COUNTER</x:v>
      </x:c>
      <x:c r="R224" s="16" t="str"/>
      <x:c r="S224" s="16" t="str">
        <x:v>카인이 힘을 받지 않고 되돌리는 고정·가드 문법을 학습</x:v>
      </x:c>
      <x:c r="T224" s="16" t="str">
        <x:v>후속 정보가 생기면 행동·배경의 의미를 재검토</x:v>
      </x:c>
      <x:c r="U224" s="16" t="str">
        <x:v>선택 / 대가 / 침묵</x:v>
      </x:c>
      <x:c r="V224" s="16" t="str">
        <x:v>퍼펙트 가드·힘 되돌림·고정 창</x:v>
      </x:c>
      <x:c r="W224" s="16"/>
      <x:c r="X224" s="22" t="str">
        <x:v>NONE</x:v>
      </x:c>
      <x:c r="Y224" s="16" t="str">
        <x:v>GLOBAL-VIS-01</x:v>
      </x:c>
      <x:c r="Z224" s="22" t="str">
        <x:v>SOURCE</x:v>
      </x:c>
      <x:c r="AA224" s="22"/>
      <x:c r="AB224" s="16"/>
      <x:c r="AC224" s="16" t="str">
        <x:v>EP01_대본_전량_001-282(2).md</x:v>
      </x:c>
      <x:c r="AD224" s="22" t="n">
        <x:v>2685</x:v>
      </x:c>
      <x:c r="AE224" s="139" t="str">
        <x:v>NOT_APPLICABLE</x:v>
      </x:c>
      <x:c r="AF224" s="139" t="str">
        <x:v>NONE</x:v>
      </x:c>
    </x:row>
    <x:row r="225" ht="72" customHeight="1">
      <x:c r="A225" s="24" t="str">
        <x:v>224</x:v>
      </x:c>
      <x:c r="B225" s="26" t="str">
        <x:v>B224-224</x:v>
      </x:c>
      <x:c r="C225" s="22" t="n">
        <x:v>1</x:v>
      </x:c>
      <x:c r="D225" s="22" t="str">
        <x:v>1/1</x:v>
      </x:c>
      <x:c r="E225" s="26" t="str">
        <x:v>EP01-S13</x:v>
      </x:c>
      <x:c r="F225" s="20" t="str">
        <x:v>12절 되돌려주는 법</x:v>
      </x:c>
      <x:c r="G225" s="20" t="str">
        <x:v>ECU</x:v>
      </x:c>
      <x:c r="H225" s="22" t="str"/>
      <x:c r="I225" s="24" t="str">
        <x:v>07-2-3</x:v>
      </x:c>
      <x:c r="J225" s="20" t="str">
        <x:v>훈련장 근접판 엠버</x:v>
      </x:c>
      <x:c r="K225" s="16" t="str">
        <x:v>카인의 발이 바닥을 파고든다. 이가 갈린다</x:v>
      </x:c>
      <x:c r="L225" s="16" t="str">
        <x:v>카인의 발이 바닥을 파고든다. 이가 갈린다</x:v>
      </x:c>
      <x:c r="M225" s="16" t="str">
        <x:v>대사 · 카인: 「내 뒤로는… 못 지난다!」</x:v>
      </x:c>
      <x:c r="N225" s="16" t="str"/>
      <x:c r="O225" s="16" t="str">
        <x:v>1,200px · 여백 중</x:v>
      </x:c>
      <x:c r="P225" s="16" t="str">
        <x:v>Boots digging into concrete. Teeth grinding.</x:v>
      </x:c>
      <x:c r="Q225" s="16" t="str">
        <x:v>GUARD_COUNTER</x:v>
      </x:c>
      <x:c r="R225" s="16" t="str"/>
      <x:c r="S225" s="16" t="str">
        <x:v>카인이 힘을 받지 않고 되돌리는 고정·가드 문법을 학습</x:v>
      </x:c>
      <x:c r="T225" s="16" t="str">
        <x:v>후속 정보가 생기면 행동·배경의 의미를 재검토</x:v>
      </x:c>
      <x:c r="U225" s="16" t="str">
        <x:v>거리 / 보호 / 선택</x:v>
      </x:c>
      <x:c r="V225" s="16" t="str">
        <x:v>퍼펙트 가드·힘 되돌림·고정 창</x:v>
      </x:c>
      <x:c r="W225" s="16"/>
      <x:c r="X225" s="22" t="str">
        <x:v>NONE</x:v>
      </x:c>
      <x:c r="Y225" s="16" t="str">
        <x:v>GLOBAL-VIS-01</x:v>
      </x:c>
      <x:c r="Z225" s="22" t="str">
        <x:v>SOURCE</x:v>
      </x:c>
      <x:c r="AA225" s="22"/>
      <x:c r="AB225" s="16"/>
      <x:c r="AC225" s="16" t="str">
        <x:v>EP01_대본_전량_001-282(2).md</x:v>
      </x:c>
      <x:c r="AD225" s="22" t="n">
        <x:v>2697</x:v>
      </x:c>
      <x:c r="AE225" s="139" t="str">
        <x:v>NOT_APPLICABLE</x:v>
      </x:c>
      <x:c r="AF225" s="139" t="str">
        <x:v>NONE</x:v>
      </x:c>
    </x:row>
    <x:row r="226" ht="72" customHeight="1">
      <x:c r="A226" s="24" t="str">
        <x:v>225</x:v>
      </x:c>
      <x:c r="B226" s="26" t="str">
        <x:v>B225-226</x:v>
      </x:c>
      <x:c r="C226" s="22" t="n">
        <x:v>2</x:v>
      </x:c>
      <x:c r="D226" s="22" t="str">
        <x:v>1/2</x:v>
      </x:c>
      <x:c r="E226" s="26" t="str">
        <x:v>EP01-S13</x:v>
      </x:c>
      <x:c r="F226" s="20" t="str">
        <x:v>12절 되돌려주는 법</x:v>
      </x:c>
      <x:c r="G226" s="20" t="str">
        <x:v>WIDE</x:v>
      </x:c>
      <x:c r="H226" s="22" t="str">
        <x:v>⭐🎭</x:v>
      </x:c>
      <x:c r="I226" s="24" t="str">
        <x:v>07-2-3</x:v>
      </x:c>
      <x:c r="J226" s="20" t="str">
        <x:v>훈련장 근접판 엠버</x:v>
      </x:c>
      <x:c r="K226" s="16" t="str">
        <x:v>힘이 빠져나간 몸이 자기 무게를 못 이기고 휘청인다</x:v>
      </x:c>
      <x:c r="L226" s="16" t="str">
        <x:v>힘이 빠져나간 몸이 자기 무게를 못 이기고 휘청인다</x:v>
      </x:c>
      <x:c r="M226" s="16" t="str">
        <x:v>나레이션: 길어야 숨 한 번. 그 한 번이 전부였다.</x:v>
      </x:c>
      <x:c r="N226" s="16" t="str"/>
      <x:c r="O226" s="16" t="str">
        <x:v>1,400px · 여백 극</x:v>
      </x:c>
      <x:c r="P226" s="16" t="str">
        <x:v>A construct staggering under its own weight, drained.</x:v>
      </x:c>
      <x:c r="Q226" s="16" t="str">
        <x:v>GUARD_COUNTER</x:v>
      </x:c>
      <x:c r="R226" s="16" t="str">
        <x:v>SIGNATURE / HUMAN_BEAT</x:v>
      </x:c>
      <x:c r="S226" s="16" t="str">
        <x:v>카인이 힘을 받지 않고 되돌리는 고정·가드 문법을 학습</x:v>
      </x:c>
      <x:c r="T226" s="16" t="str">
        <x:v>시그니처 상징의 기원</x:v>
      </x:c>
      <x:c r="U226" s="16" t="str">
        <x:v>선택 / 대가 / 침묵</x:v>
      </x:c>
      <x:c r="V226" s="16" t="str">
        <x:v>퍼펙트 가드·힘 되돌림·고정 창</x:v>
      </x:c>
      <x:c r="W226" s="16"/>
      <x:c r="X226" s="22" t="str">
        <x:v>NONE</x:v>
      </x:c>
      <x:c r="Y226" s="16" t="str">
        <x:v>GLOBAL-VIS-01</x:v>
      </x:c>
      <x:c r="Z226" s="22" t="str">
        <x:v>EDITORIAL_REVIEW</x:v>
      </x:c>
      <x:c r="AA226" s="22"/>
      <x:c r="AB226" s="16"/>
      <x:c r="AC226" s="16" t="str">
        <x:v>EP01_대본_전량_001-282(2).md</x:v>
      </x:c>
      <x:c r="AD226" s="22" t="n">
        <x:v>2710</x:v>
      </x:c>
      <x:c r="AE226" s="139" t="str">
        <x:v>NOT_APPLICABLE</x:v>
      </x:c>
      <x:c r="AF226" s="139" t="str">
        <x:v>NONE</x:v>
      </x:c>
    </x:row>
    <x:row r="227" ht="72" customHeight="1">
      <x:c r="A227" s="24" t="str">
        <x:v>226</x:v>
      </x:c>
      <x:c r="B227" s="26" t="str">
        <x:v>B225-226</x:v>
      </x:c>
      <x:c r="C227" s="22" t="n">
        <x:v>2</x:v>
      </x:c>
      <x:c r="D227" s="22" t="str">
        <x:v>2/2</x:v>
      </x:c>
      <x:c r="E227" s="26" t="str">
        <x:v>EP01-S13</x:v>
      </x:c>
      <x:c r="F227" s="20" t="str">
        <x:v>12절 되돌려주는 법</x:v>
      </x:c>
      <x:c r="G227" s="20" t="str">
        <x:v>WIDE</x:v>
      </x:c>
      <x:c r="H227" s="22" t="str">
        <x:v>⭐🎭</x:v>
      </x:c>
      <x:c r="I227" s="24" t="str">
        <x:v>07-2-3</x:v>
      </x:c>
      <x:c r="J227" s="20" t="str">
        <x:v>훈련장 근접판 엠버</x:v>
      </x:c>
      <x:c r="K227" s="16" t="str">
        <x:v>놈의 자세가 복구되기 전, 아인과 놈 사이에 숨 한 번의 빈 거리만 열린다.</x:v>
      </x:c>
      <x:c r="L227" s="16" t="str">
        <x:v>힘이 빠져나간 몸이 자기 무게를 못 이기고 휘청이는 시간. 길어야 숨 한 번. 그 한 번이 전부였다.</x:v>
      </x:c>
      <x:c r="M227" s="16" t="str">
        <x:v>나레이션: 그 한 번이 전부였다.</x:v>
      </x:c>
      <x:c r="N227" s="16"/>
      <x:c r="O227" s="16" t="str">
        <x:v>1,400px · 여백 극</x:v>
      </x:c>
      <x:c r="P227" s="16" t="str">
        <x:v>A construct staggering under its own weight, drained.</x:v>
      </x:c>
      <x:c r="Q227" s="16" t="str">
        <x:v>GUARD_COUNTER</x:v>
      </x:c>
      <x:c r="R227" s="16" t="str">
        <x:v>SIGNATURE / HUMAN_BEAT</x:v>
      </x:c>
      <x:c r="S227" s="16" t="str">
        <x:v>카인이 힘을 받지 않고 되돌리는 고정·가드 문법을 학습</x:v>
      </x:c>
      <x:c r="T227" s="16" t="str">
        <x:v>시그니처 상징의 기원</x:v>
      </x:c>
      <x:c r="U227" s="16" t="str">
        <x:v>선택 / 대가 / 침묵</x:v>
      </x:c>
      <x:c r="V227" s="16" t="str">
        <x:v>퍼펙트 가드·힘 되돌림·고정 창</x:v>
      </x:c>
      <x:c r="W227" s="16"/>
      <x:c r="X227" s="22" t="str">
        <x:v>NONE</x:v>
      </x:c>
      <x:c r="Y227" s="16" t="str">
        <x:v>GLOBAL-VIS-01</x:v>
      </x:c>
      <x:c r="Z227" s="22" t="str">
        <x:v>EDITORIAL_CANON_SPLIT</x:v>
      </x:c>
      <x:c r="AA227" s="22"/>
      <x:c r="AB227" s="16" t="str">
        <x:v>소설 12절의 ‘그 한 번이 전부였다’를 별도 창 컷으로 분리.</x:v>
      </x:c>
      <x:c r="AC227" s="16" t="str">
        <x:v>소설_EP01_황혼_아래_사신의_낫(1).md</x:v>
      </x:c>
      <x:c r="AD227" s="22" t="n">
        <x:v>852</x:v>
      </x:c>
      <x:c r="AE227" s="139" t="str">
        <x:v>NOT_APPLICABLE</x:v>
      </x:c>
      <x:c r="AF227" s="139" t="str">
        <x:v>NONE</x:v>
      </x:c>
    </x:row>
    <x:row r="228" ht="72" customHeight="1">
      <x:c r="A228" s="24" t="str">
        <x:v>227</x:v>
      </x:c>
      <x:c r="B228" s="26" t="str">
        <x:v>B227-227</x:v>
      </x:c>
      <x:c r="C228" s="22" t="n">
        <x:v>1</x:v>
      </x:c>
      <x:c r="D228" s="22" t="str">
        <x:v>1/1</x:v>
      </x:c>
      <x:c r="E228" s="26" t="str">
        <x:v>EP01-S14</x:v>
      </x:c>
      <x:c r="F228" s="20" t="str">
        <x:v>13절 끊는 법</x:v>
      </x:c>
      <x:c r="G228" s="20" t="str">
        <x:v>MS</x:v>
      </x:c>
      <x:c r="H228" s="22" t="str">
        <x:v>🤫</x:v>
      </x:c>
      <x:c r="I228" s="24" t="str">
        <x:v>07-2-3</x:v>
      </x:c>
      <x:c r="J228" s="20" t="str">
        <x:v>훈련장 근접판 엠버</x:v>
      </x:c>
      <x:c r="K228" s="16" t="str">
        <x:v>아인이 일어선다</x:v>
      </x:c>
      <x:c r="L228" s="16" t="str">
        <x:v>아인이 일어선다</x:v>
      </x:c>
      <x:c r="M228" s="16" t="str"/>
      <x:c r="N228" s="16" t="str"/>
      <x:c r="O228" s="16" t="str">
        <x:v>600px · 여백 극</x:v>
      </x:c>
      <x:c r="P228" s="16" t="str">
        <x:v>A woman standing up.</x:v>
      </x:c>
      <x:c r="Q228" s="16" t="str">
        <x:v>PART_BREAK</x:v>
      </x:c>
      <x:c r="R228" s="16" t="str">
        <x:v>SILENT_ACTING</x:v>
      </x:c>
      <x:c r="S228" s="16" t="str">
        <x:v>결절을 걸어 끊고 온전한 결정을 회수하는 핵심 루프를 학습</x:v>
      </x:c>
      <x:c r="T228" s="16" t="str">
        <x:v>침묵한 반응의 이유를 후발 정보로 다시 읽음</x:v>
      </x:c>
      <x:c r="U228" s="16" t="str">
        <x:v>선택 / 대가 / 침묵</x:v>
      </x:c>
      <x:c r="V228" s="16" t="str">
        <x:v>결절 노출·스위트 스폿·부위 파괴·소재 회수</x:v>
      </x:c>
      <x:c r="W228" s="16"/>
      <x:c r="X228" s="22" t="str">
        <x:v>NONE</x:v>
      </x:c>
      <x:c r="Y228" s="16" t="str">
        <x:v>대사 금지 또는 응답 없는 침묵 유지 / 아인 왼쪽 견갑·오른쪽 건틀릿 좌우 고정 / GLOBAL-VIS-01</x:v>
      </x:c>
      <x:c r="Z228" s="22" t="str">
        <x:v>SOURCE</x:v>
      </x:c>
      <x:c r="AA228" s="22"/>
      <x:c r="AB228" s="16"/>
      <x:c r="AC228" s="16" t="str">
        <x:v>EP01_대본_전량_001-282(2).md</x:v>
      </x:c>
      <x:c r="AD228" s="22" t="n">
        <x:v>2729</x:v>
      </x:c>
      <x:c r="AE228" s="139" t="str">
        <x:v>NOT_APPLICABLE</x:v>
      </x:c>
      <x:c r="AF228" s="139" t="str">
        <x:v>NONE</x:v>
      </x:c>
    </x:row>
    <x:row r="229" ht="72" customHeight="1">
      <x:c r="A229" s="24" t="str">
        <x:v>228</x:v>
      </x:c>
      <x:c r="B229" s="26" t="str">
        <x:v>B228-228</x:v>
      </x:c>
      <x:c r="C229" s="22" t="n">
        <x:v>1</x:v>
      </x:c>
      <x:c r="D229" s="22" t="str">
        <x:v>1/1</x:v>
      </x:c>
      <x:c r="E229" s="26" t="str">
        <x:v>EP01-S14</x:v>
      </x:c>
      <x:c r="F229" s="20" t="str">
        <x:v>13절 끊는 법</x:v>
      </x:c>
      <x:c r="G229" s="20" t="str">
        <x:v>측면 동일 앵글</x:v>
      </x:c>
      <x:c r="H229" s="22" t="str">
        <x:v>⭐🔒</x:v>
      </x:c>
      <x:c r="I229" s="24" t="str">
        <x:v>07-2</x:v>
      </x:c>
      <x:c r="J229" s="20" t="str">
        <x:v>훈련장 엠버</x:v>
      </x:c>
      <x:c r="K229" s="16" t="str">
        <x:v>뛰지 않았다. 발이 멈췄다. 간격이 딱 낫 하나 길이</x:v>
      </x:c>
      <x:c r="L229" s="16" t="str">
        <x:v>뛰지 않았다. 발이 멈췄다. 간격이 딱 낫 하나 길이</x:v>
      </x:c>
      <x:c r="M229" s="16" t="str"/>
      <x:c r="N229" s="16" t="str"/>
      <x:c r="O229" s="16" t="str">
        <x:v>1,400px · 여백 극</x:v>
      </x:c>
      <x:c r="P229" s="16" t="str">
        <x:v>IDENTICAL FRAMING TO CUT 201 AND 203. She has NOT dashed. Her feet are planted. The gap is now exactly one scythe length.</x:v>
      </x:c>
      <x:c r="Q229" s="16" t="str">
        <x:v>PART_BREAK</x:v>
      </x:c>
      <x:c r="R229" s="16" t="str">
        <x:v>SIGNATURE / CALLBACK</x:v>
      </x:c>
      <x:c r="S229" s="16" t="str">
        <x:v>결절을 걸어 끊고 온전한 결정을 회수하는 핵심 루프를 학습</x:v>
      </x:c>
      <x:c r="T229" s="16" t="str">
        <x:v>동일 구도 반복이 관계·기억의 변화를 증명 / 시그니처 상징의 기원</x:v>
      </x:c>
      <x:c r="U229" s="16" t="str">
        <x:v>거리 / 보호 / 선택 / 박자</x:v>
      </x:c>
      <x:c r="V229" s="16" t="str">
        <x:v>결절 노출·스위트 스폿·부위 파괴·소재 회수</x:v>
      </x:c>
      <x:c r="W229" s="16"/>
      <x:c r="X229" s="22" t="str">
        <x:v>NONE</x:v>
      </x:c>
      <x:c r="Y229" s="16" t="str">
        <x:v>지정 컷과 동일 구도 / GLOBAL-VIS-01</x:v>
      </x:c>
      <x:c r="Z229" s="22" t="str">
        <x:v>SOURCE</x:v>
      </x:c>
      <x:c r="AA229" s="22"/>
      <x:c r="AB229" s="16"/>
      <x:c r="AC229" s="16" t="str">
        <x:v>EP01_대본_전량_001-282(2).md</x:v>
      </x:c>
      <x:c r="AD229" s="22" t="n">
        <x:v>2741</x:v>
      </x:c>
      <x:c r="AE229" s="139" t="str">
        <x:v>NOT_APPLICABLE</x:v>
      </x:c>
      <x:c r="AF229" s="139" t="str">
        <x:v>NONE</x:v>
      </x:c>
    </x:row>
    <x:row r="230" ht="72" customHeight="1">
      <x:c r="A230" s="24" t="str">
        <x:v>229</x:v>
      </x:c>
      <x:c r="B230" s="26" t="str">
        <x:v>B229-229</x:v>
      </x:c>
      <x:c r="C230" s="22" t="n">
        <x:v>1</x:v>
      </x:c>
      <x:c r="D230" s="22" t="str">
        <x:v>1/1</x:v>
      </x:c>
      <x:c r="E230" s="26" t="str">
        <x:v>EP01-S14</x:v>
      </x:c>
      <x:c r="F230" s="20" t="str">
        <x:v>13절 끊는 법</x:v>
      </x:c>
      <x:c r="G230" s="20" t="str">
        <x:v>인서트</x:v>
      </x:c>
      <x:c r="H230" s="22" t="str">
        <x:v>🤫🔴</x:v>
      </x:c>
      <x:c r="I230" s="24" t="str">
        <x:v>07-2-3</x:v>
      </x:c>
      <x:c r="J230" s="20" t="str">
        <x:v>훈련장 근접판 엠버</x:v>
      </x:c>
      <x:c r="K230" s="16" t="str">
        <x:v>발끝. 움직이지 않는다</x:v>
      </x:c>
      <x:c r="L230" s="16" t="str">
        <x:v>발끝. 움직이지 않는다</x:v>
      </x:c>
      <x:c r="M230" s="16" t="str"/>
      <x:c r="N230" s="16" t="str"/>
      <x:c r="O230" s="16" t="str">
        <x:v>500px · 여백 극</x:v>
      </x:c>
      <x:c r="P230" s="16" t="str">
        <x:v>Close on the tips of boots. Not moving.</x:v>
      </x:c>
      <x:c r="Q230" s="16" t="str">
        <x:v>PART_BREAK</x:v>
      </x:c>
      <x:c r="R230" s="16" t="str">
        <x:v>SILENT_ACTING / NONNEGOTIABLE</x:v>
      </x:c>
      <x:c r="S230" s="16" t="str">
        <x:v>결절을 걸어 끊고 온전한 결정을 회수하는 핵심 루프를 학습</x:v>
      </x:c>
      <x:c r="T230" s="16" t="str">
        <x:v>침묵한 반응의 이유를 후발 정보로 다시 읽음</x:v>
      </x:c>
      <x:c r="U230" s="16" t="str">
        <x:v>거리 / 보호 / 선택</x:v>
      </x:c>
      <x:c r="V230" s="16" t="str">
        <x:v>결절 노출·스위트 스폿·부위 파괴·소재 회수</x:v>
      </x:c>
      <x:c r="W230" s="16"/>
      <x:c r="X230" s="22" t="str">
        <x:v>NONE</x:v>
      </x:c>
      <x:c r="Y230" s="16" t="str">
        <x:v>대사 금지 또는 응답 없는 침묵 유지 / 필수 정보·좌우·거리 판독성 우선 / GLOBAL-VIS-01</x:v>
      </x:c>
      <x:c r="Z230" s="22" t="str">
        <x:v>SOURCE</x:v>
      </x:c>
      <x:c r="AA230" s="22"/>
      <x:c r="AB230" s="16"/>
      <x:c r="AC230" s="16" t="str">
        <x:v>EP01_대본_전량_001-282(2).md</x:v>
      </x:c>
      <x:c r="AD230" s="22" t="n">
        <x:v>2753</x:v>
      </x:c>
      <x:c r="AE230" s="139" t="str">
        <x:v>NOT_APPLICABLE</x:v>
      </x:c>
      <x:c r="AF230" s="139" t="str">
        <x:v>NONE</x:v>
      </x:c>
    </x:row>
    <x:row r="231" ht="72" customHeight="1">
      <x:c r="A231" s="24" t="str">
        <x:v>230</x:v>
      </x:c>
      <x:c r="B231" s="26" t="str">
        <x:v>B230-230</x:v>
      </x:c>
      <x:c r="C231" s="22" t="n">
        <x:v>1</x:v>
      </x:c>
      <x:c r="D231" s="22" t="str">
        <x:v>1/1</x:v>
      </x:c>
      <x:c r="E231" s="26" t="str">
        <x:v>EP01-S14</x:v>
      </x:c>
      <x:c r="F231" s="20" t="str">
        <x:v>13절 끊는 법</x:v>
      </x:c>
      <x:c r="G231" s="20" t="str">
        <x:v>ECU</x:v>
      </x:c>
      <x:c r="H231" s="22" t="str"/>
      <x:c r="I231" s="24" t="str">
        <x:v>07-2-3</x:v>
      </x:c>
      <x:c r="J231" s="20" t="str">
        <x:v>훈련장 근접판 엠버</x:v>
      </x:c>
      <x:c r="K231" s="16" t="str">
        <x:v>아인의 눈. 거리를 재고 있다</x:v>
      </x:c>
      <x:c r="L231" s="16" t="str">
        <x:v>아인의 눈. 거리를 재고 있다</x:v>
      </x:c>
      <x:c r="M231" s="16" t="str">
        <x:v>대사 · 아인: 「이번엔—」</x:v>
      </x:c>
      <x:c r="N231" s="16" t="str"/>
      <x:c r="O231" s="16" t="str">
        <x:v>700px · 여백 중</x:v>
      </x:c>
      <x:c r="P231" s="16" t="str">
        <x:v>Extreme close on eyes measuring a distance.</x:v>
      </x:c>
      <x:c r="Q231" s="16" t="str">
        <x:v>PART_BREAK</x:v>
      </x:c>
      <x:c r="R231" s="16" t="str"/>
      <x:c r="S231" s="16" t="str">
        <x:v>결절을 걸어 끊고 온전한 결정을 회수하는 핵심 루프를 학습</x:v>
      </x:c>
      <x:c r="T231" s="16" t="str">
        <x:v>후속 정보가 생기면 행동·배경의 의미를 재검토</x:v>
      </x:c>
      <x:c r="U231" s="16" t="str">
        <x:v>선택 / 대가 / 침묵</x:v>
      </x:c>
      <x:c r="V231" s="16" t="str">
        <x:v>결절 노출·스위트 스폿·부위 파괴·소재 회수</x:v>
      </x:c>
      <x:c r="W231" s="16"/>
      <x:c r="X231" s="22" t="str">
        <x:v>NONE</x:v>
      </x:c>
      <x:c r="Y231" s="16" t="str">
        <x:v>아인 왼쪽 견갑·오른쪽 건틀릿 좌우 고정 / GLOBAL-VIS-01</x:v>
      </x:c>
      <x:c r="Z231" s="22" t="str">
        <x:v>SOURCE</x:v>
      </x:c>
      <x:c r="AA231" s="22"/>
      <x:c r="AB231" s="16"/>
      <x:c r="AC231" s="16" t="str">
        <x:v>EP01_대본_전량_001-282(2).md</x:v>
      </x:c>
      <x:c r="AD231" s="22" t="n">
        <x:v>2765</x:v>
      </x:c>
      <x:c r="AE231" s="139" t="str">
        <x:v>NOT_APPLICABLE</x:v>
      </x:c>
      <x:c r="AF231" s="139" t="str">
        <x:v>NONE</x:v>
      </x:c>
    </x:row>
    <x:row r="232" ht="72" customHeight="1">
      <x:c r="A232" s="24" t="str">
        <x:v>231</x:v>
      </x:c>
      <x:c r="B232" s="26" t="str">
        <x:v>B231-231</x:v>
      </x:c>
      <x:c r="C232" s="22" t="n">
        <x:v>1</x:v>
      </x:c>
      <x:c r="D232" s="22" t="str">
        <x:v>1/1</x:v>
      </x:c>
      <x:c r="E232" s="26" t="str">
        <x:v>EP01-S14</x:v>
      </x:c>
      <x:c r="F232" s="20" t="str">
        <x:v>13절 끊는 법</x:v>
      </x:c>
      <x:c r="G232" s="20" t="str">
        <x:v>극세로 블리드</x:v>
      </x:c>
      <x:c r="H232" s="22" t="str">
        <x:v>⭐</x:v>
      </x:c>
      <x:c r="I232" s="24" t="str">
        <x:v>07-2</x:v>
      </x:c>
      <x:c r="J232" s="20" t="str">
        <x:v>훈련장 엠버</x:v>
      </x:c>
      <x:c r="K232" s="16" t="str">
        <x:v>몸을 비틀며 솟구친다</x:v>
      </x:c>
      <x:c r="L232" s="16" t="str">
        <x:v>몸을 비틀며 솟구친다</x:v>
      </x:c>
      <x:c r="M232" s="16" t="str"/>
      <x:c r="N232" s="16" t="str">
        <x:v>타앙—</x:v>
      </x:c>
      <x:c r="O232" s="16" t="str">
        <x:v>2,800px · 여백 중</x:v>
      </x:c>
      <x:c r="P232" s="16" t="str">
        <x:v>A woman twisting her body and launching upward.</x:v>
      </x:c>
      <x:c r="Q232" s="16" t="str">
        <x:v>PART_BREAK</x:v>
      </x:c>
      <x:c r="R232" s="16" t="str">
        <x:v>SIGNATURE</x:v>
      </x:c>
      <x:c r="S232" s="16" t="str">
        <x:v>결절을 걸어 끊고 온전한 결정을 회수하는 핵심 루프를 학습</x:v>
      </x:c>
      <x:c r="T232" s="16" t="str">
        <x:v>시그니처 상징의 기원</x:v>
      </x:c>
      <x:c r="U232" s="16" t="str">
        <x:v>선택 / 대가 / 침묵</x:v>
      </x:c>
      <x:c r="V232" s="16" t="str">
        <x:v>결절 노출·스위트 스폿·부위 파괴·소재 회수</x:v>
      </x:c>
      <x:c r="W232" s="16"/>
      <x:c r="X232" s="22" t="str">
        <x:v>NONE</x:v>
      </x:c>
      <x:c r="Y232" s="16" t="str">
        <x:v>아인 왼쪽 견갑·오른쪽 건틀릿 좌우 고정 / GLOBAL-VIS-01</x:v>
      </x:c>
      <x:c r="Z232" s="22" t="str">
        <x:v>SOURCE</x:v>
      </x:c>
      <x:c r="AA232" s="22"/>
      <x:c r="AB232" s="16"/>
      <x:c r="AC232" s="16" t="str">
        <x:v>EP01_대본_전량_001-282(2).md</x:v>
      </x:c>
      <x:c r="AD232" s="22" t="n">
        <x:v>2778</x:v>
      </x:c>
      <x:c r="AE232" s="139" t="str">
        <x:v>NOT_APPLICABLE</x:v>
      </x:c>
      <x:c r="AF232" s="139" t="str">
        <x:v>NONE</x:v>
      </x:c>
    </x:row>
    <x:row r="233" ht="72" customHeight="1">
      <x:c r="A233" s="24" t="str">
        <x:v>232</x:v>
      </x:c>
      <x:c r="B233" s="26" t="str">
        <x:v>B232-233</x:v>
      </x:c>
      <x:c r="C233" s="22" t="n">
        <x:v>2</x:v>
      </x:c>
      <x:c r="D233" s="22" t="str">
        <x:v>1/2</x:v>
      </x:c>
      <x:c r="E233" s="26" t="str">
        <x:v>EP01-S14</x:v>
      </x:c>
      <x:c r="F233" s="20" t="str">
        <x:v>13절 끊는 법</x:v>
      </x:c>
      <x:c r="G233" s="20" t="str">
        <x:v>전면 색조 전환</x:v>
      </x:c>
      <x:c r="H233" s="22" t="str"/>
      <x:c r="I233" s="24" t="str">
        <x:v>07-2-3</x:v>
      </x:c>
      <x:c r="J233" s="20" t="str">
        <x:v>훈련장 근접판 엠버</x:v>
      </x:c>
      <x:c r="K233" s="16" t="str">
        <x:v>세상이 늘어진다</x:v>
      </x:c>
      <x:c r="L233" s="16" t="str">
        <x:v>세상이 늘어진다. 채도가 폭발하듯 올라가고 소리가 멀어진다. 놈의 팔 궤적이 한 조각씩 끊겨 보인다</x:v>
      </x:c>
      <x:c r="M233" s="16" t="str"/>
      <x:c r="N233" s="16" t="str"/>
      <x:c r="O233" s="16" t="str">
        <x:v>1,500px · 여백 중</x:v>
      </x:c>
      <x:c r="P233" s="16" t="str">
        <x:v>Time dilation. Saturation surges. A construct's arm trajectory visible as separated frozen slices.</x:v>
      </x:c>
      <x:c r="Q233" s="16" t="str">
        <x:v>PART_BREAK</x:v>
      </x:c>
      <x:c r="R233" s="16" t="str"/>
      <x:c r="S233" s="16" t="str">
        <x:v>결절을 걸어 끊고 온전한 결정을 회수하는 핵심 루프를 학습</x:v>
      </x:c>
      <x:c r="T233" s="16" t="str">
        <x:v>후속 정보가 생기면 행동·배경의 의미를 재검토</x:v>
      </x:c>
      <x:c r="U233" s="16" t="str">
        <x:v>선택 / 대가 / 침묵</x:v>
      </x:c>
      <x:c r="V233" s="16" t="str">
        <x:v>결절 노출·스위트 스폿·부위 파괴·소재 회수</x:v>
      </x:c>
      <x:c r="W233" s="16"/>
      <x:c r="X233" s="22" t="str">
        <x:v>NONE</x:v>
      </x:c>
      <x:c r="Y233" s="16" t="str">
        <x:v>GLOBAL-VIS-01</x:v>
      </x:c>
      <x:c r="Z233" s="22" t="str">
        <x:v>EDITORIAL_SPLIT</x:v>
      </x:c>
      <x:c r="AA233" s="22"/>
      <x:c r="AB233" s="16"/>
      <x:c r="AC233" s="16" t="str">
        <x:v>EP01_대본_전량_001-282(2).md</x:v>
      </x:c>
      <x:c r="AD233" s="22" t="n">
        <x:v>2791</x:v>
      </x:c>
      <x:c r="AE233" s="139" t="str">
        <x:v>NOT_APPLICABLE</x:v>
      </x:c>
      <x:c r="AF233" s="139" t="str">
        <x:v>NONE</x:v>
      </x:c>
    </x:row>
    <x:row r="234" ht="72" customHeight="1">
      <x:c r="A234" s="24" t="str">
        <x:v>233</x:v>
      </x:c>
      <x:c r="B234" s="26" t="str">
        <x:v>B232-233</x:v>
      </x:c>
      <x:c r="C234" s="22" t="n">
        <x:v>2</x:v>
      </x:c>
      <x:c r="D234" s="22" t="str">
        <x:v>2/2</x:v>
      </x:c>
      <x:c r="E234" s="26" t="str">
        <x:v>EP01-S14</x:v>
      </x:c>
      <x:c r="F234" s="20" t="str">
        <x:v>13절 끊는 법</x:v>
      </x:c>
      <x:c r="G234" s="20" t="str">
        <x:v>전면 색조 전환</x:v>
      </x:c>
      <x:c r="H234" s="22" t="str"/>
      <x:c r="I234" s="24" t="str">
        <x:v>07-2-3</x:v>
      </x:c>
      <x:c r="J234" s="20" t="str">
        <x:v>훈련장 근접판 엠버</x:v>
      </x:c>
      <x:c r="K234" s="16" t="str">
        <x:v>채도가 폭발하듯 올라가고 소리가 멀어진다 / 놈의 팔 궤적이 한 조각씩 끊겨 보인다</x:v>
      </x:c>
      <x:c r="L234" s="16" t="str">
        <x:v>세상이 늘어진다. 채도가 폭발하듯 올라가고 소리가 멀어진다. 놈의 팔 궤적이 한 조각씩 끊겨 보인다</x:v>
      </x:c>
      <x:c r="M234" s="16" t="str"/>
      <x:c r="N234" s="16" t="str"/>
      <x:c r="O234" s="16" t="str">
        <x:v>1,500px · 여백 중</x:v>
      </x:c>
      <x:c r="P234" s="16" t="str">
        <x:v>Time dilation. Saturation surges. A construct's arm trajectory visible as separated frozen slices.</x:v>
      </x:c>
      <x:c r="Q234" s="16" t="str">
        <x:v>PART_BREAK</x:v>
      </x:c>
      <x:c r="R234" s="16" t="str"/>
      <x:c r="S234" s="16" t="str">
        <x:v>결절을 걸어 끊고 온전한 결정을 회수하는 핵심 루프를 학습</x:v>
      </x:c>
      <x:c r="T234" s="16" t="str">
        <x:v>후속 정보가 생기면 행동·배경의 의미를 재검토</x:v>
      </x:c>
      <x:c r="U234" s="16" t="str">
        <x:v>거리 / 보호 / 선택</x:v>
      </x:c>
      <x:c r="V234" s="16" t="str">
        <x:v>결절 노출·스위트 스폿·부위 파괴·소재 회수</x:v>
      </x:c>
      <x:c r="W234" s="16"/>
      <x:c r="X234" s="22" t="str">
        <x:v>NONE</x:v>
      </x:c>
      <x:c r="Y234" s="16" t="str">
        <x:v>GLOBAL-VIS-01</x:v>
      </x:c>
      <x:c r="Z234" s="22" t="str">
        <x:v>EDITORIAL_SPLIT</x:v>
      </x:c>
      <x:c r="AA234" s="22"/>
      <x:c r="AB234" s="16"/>
      <x:c r="AC234" s="16" t="str">
        <x:v>EP01_대본_전량_001-282(2).md</x:v>
      </x:c>
      <x:c r="AD234" s="22" t="n">
        <x:v>2791</x:v>
      </x:c>
      <x:c r="AE234" s="139" t="str">
        <x:v>NOT_APPLICABLE</x:v>
      </x:c>
      <x:c r="AF234" s="139" t="str">
        <x:v>NONE</x:v>
      </x:c>
    </x:row>
    <x:row r="235" ht="72" customHeight="1">
      <x:c r="A235" s="24" t="str">
        <x:v>234</x:v>
      </x:c>
      <x:c r="B235" s="26" t="str">
        <x:v>B234-234</x:v>
      </x:c>
      <x:c r="C235" s="22" t="n">
        <x:v>1</x:v>
      </x:c>
      <x:c r="D235" s="22" t="str">
        <x:v>1/1</x:v>
      </x:c>
      <x:c r="E235" s="26" t="str">
        <x:v>EP01-S14</x:v>
      </x:c>
      <x:c r="F235" s="20" t="str">
        <x:v>13절 끊는 법</x:v>
      </x:c>
      <x:c r="G235" s="20" t="str">
        <x:v>인서트 도해</x:v>
      </x:c>
      <x:c r="H235" s="22" t="str">
        <x:v>📢🔴</x:v>
      </x:c>
      <x:c r="I235" s="24" t="str">
        <x:v>—</x:v>
      </x:c>
      <x:c r="J235" s="20" t="str">
        <x:v>배경 없음</x:v>
      </x:c>
      <x:c r="K235" s="16" t="str">
        <x:v>놈의 몸을 흐르는 길. 어깨→팔꿈치→손끝. 그 길의 이음매에서 나노 편대가 얇아진다</x:v>
      </x:c>
      <x:c r="L235" s="16" t="str">
        <x:v>놈의 몸을 흐르는 길. 어깨→팔꿈치→손끝. 그 길의 이음매에서 나노 편대가 얇아진다</x:v>
      </x:c>
      <x:c r="M235" s="16" t="str">
        <x:v>나레이션: 힘이 흐르는 길이 있다. / 그 길에는 반드시 이음매가 있고, / 이음매에서는 나노 편대가 얇아진다. / 죽이는 게 아니다. 끊는 것이다.</x:v>
      </x:c>
      <x:c r="N235" s="16" t="str"/>
      <x:c r="O235" s="16" t="str">
        <x:v>2,600px · 여백 중</x:v>
      </x:c>
      <x:c r="P235" s="16" t="str">
        <x:v>DIAGRAM. A line of force running shoulder to elbow to fingertip. Two joints along the path glow amber — these are the thin points. Clean, informational.</x:v>
      </x:c>
      <x:c r="Q235" s="16" t="str">
        <x:v>PART_BREAK</x:v>
      </x:c>
      <x:c r="R235" s="16" t="str">
        <x:v>EXPLICIT_RULE / NONNEGOTIABLE</x:v>
      </x:c>
      <x:c r="S235" s="16" t="str">
        <x:v>결절을 걸어 끊고 온전한 결정을 회수하는 핵심 루프를 학습</x:v>
      </x:c>
      <x:c r="T235" s="16" t="str">
        <x:v>후속 정보가 생기면 행동·배경의 의미를 재검토</x:v>
      </x:c>
      <x:c r="U235" s="16" t="str">
        <x:v>손 / 놓침 / 책임</x:v>
      </x:c>
      <x:c r="V235" s="16" t="str">
        <x:v>결절 노출·스위트 스폿·부위 파괴·소재 회수 / 도해는 튜토리얼 오버레이가 아니라 세계 내 설명 컷으로 유지</x:v>
      </x:c>
      <x:c r="W235" s="16"/>
      <x:c r="X235" s="22" t="str">
        <x:v>NONE</x:v>
      </x:c>
      <x:c r="Y235" s="16" t="str">
        <x:v>필수 정보·좌우·거리 판독성 우선 / 정보 컷; 분위기보다 이해 우선 / GLOBAL-VIS-01</x:v>
      </x:c>
      <x:c r="Z235" s="22" t="str">
        <x:v>SOURCE</x:v>
      </x:c>
      <x:c r="AA235" s="22"/>
      <x:c r="AB235" s="16"/>
      <x:c r="AC235" s="16" t="str">
        <x:v>EP01_대본_전량_001-282(2).md</x:v>
      </x:c>
      <x:c r="AD235" s="22" t="n">
        <x:v>2803</x:v>
      </x:c>
      <x:c r="AE235" s="139" t="str">
        <x:v>NOT_APPLICABLE</x:v>
      </x:c>
      <x:c r="AF235" s="139" t="str">
        <x:v>NONE</x:v>
      </x:c>
    </x:row>
    <x:row r="236" ht="72" customHeight="1">
      <x:c r="A236" s="24" t="str">
        <x:v>235</x:v>
      </x:c>
      <x:c r="B236" s="26" t="str">
        <x:v>B235-235</x:v>
      </x:c>
      <x:c r="C236" s="22" t="n">
        <x:v>1</x:v>
      </x:c>
      <x:c r="D236" s="22" t="str">
        <x:v>1/1</x:v>
      </x:c>
      <x:c r="E236" s="26" t="str">
        <x:v>EP01-S14</x:v>
      </x:c>
      <x:c r="F236" s="20" t="str">
        <x:v>13절 끊는 법</x:v>
      </x:c>
      <x:c r="G236" s="20" t="str">
        <x:v>극세로 블리드</x:v>
      </x:c>
      <x:c r="H236" s="22" t="str">
        <x:v>⭐</x:v>
      </x:c>
      <x:c r="I236" s="24" t="str">
        <x:v>07-2-3</x:v>
      </x:c>
      <x:c r="J236" s="20" t="str">
        <x:v>훈련장 근접판 엠버</x:v>
      </x:c>
      <x:c r="K236" s="16" t="str">
        <x:v>낫이 원을 그린다. 궤적이 화면을 세로로 가른다</x:v>
      </x:c>
      <x:c r="L236" s="16" t="str">
        <x:v>낫이 원을 그린다. 궤적이 화면을 세로로 가른다</x:v>
      </x:c>
      <x:c r="M236" s="16" t="str"/>
      <x:c r="N236" s="16" t="str"/>
      <x:c r="O236" s="16" t="str">
        <x:v>3,954px · 여백 좁</x:v>
      </x:c>
      <x:c r="P236" s="16" t="str">
        <x:v>A scythe carving a full circle. The amber trail splits the frame vertically. The radius is clearly visible.</x:v>
      </x:c>
      <x:c r="Q236" s="16" t="str">
        <x:v>PART_BREAK</x:v>
      </x:c>
      <x:c r="R236" s="16" t="str">
        <x:v>SIGNATURE</x:v>
      </x:c>
      <x:c r="S236" s="16" t="str">
        <x:v>결절을 걸어 끊고 온전한 결정을 회수하는 핵심 루프를 학습</x:v>
      </x:c>
      <x:c r="T236" s="16" t="str">
        <x:v>시그니처 상징의 기원</x:v>
      </x:c>
      <x:c r="U236" s="16" t="str">
        <x:v>거리 / 박자 / 원</x:v>
      </x:c>
      <x:c r="V236" s="16" t="str">
        <x:v>결절 노출·스위트 스폿·부위 파괴·소재 회수</x:v>
      </x:c>
      <x:c r="W236" s="16"/>
      <x:c r="X236" s="22" t="str">
        <x:v>NONE</x:v>
      </x:c>
      <x:c r="Y236" s="16" t="str">
        <x:v>GLOBAL-VIS-01</x:v>
      </x:c>
      <x:c r="Z236" s="22" t="str">
        <x:v>SOURCE</x:v>
      </x:c>
      <x:c r="AA236" s="22"/>
      <x:c r="AB236" s="16"/>
      <x:c r="AC236" s="16" t="str">
        <x:v>EP01_대본_전량_001-282(2).md</x:v>
      </x:c>
      <x:c r="AD236" s="22" t="n">
        <x:v>2816</x:v>
      </x:c>
      <x:c r="AE236" s="139" t="str">
        <x:v>NOT_APPLICABLE</x:v>
      </x:c>
      <x:c r="AF236" s="139" t="str">
        <x:v>NONE</x:v>
      </x:c>
    </x:row>
    <x:row r="237" ht="72" customHeight="1">
      <x:c r="A237" s="24" t="str">
        <x:v>236</x:v>
      </x:c>
      <x:c r="B237" s="26" t="str">
        <x:v>B236-238</x:v>
      </x:c>
      <x:c r="C237" s="22" t="n">
        <x:v>3</x:v>
      </x:c>
      <x:c r="D237" s="22" t="str">
        <x:v>1/3</x:v>
      </x:c>
      <x:c r="E237" s="26" t="str">
        <x:v>EP01-S14</x:v>
      </x:c>
      <x:c r="F237" s="20" t="str">
        <x:v>13절 끊는 법</x:v>
      </x:c>
      <x:c r="G237" s="20" t="str">
        <x:v>극세로 블리드</x:v>
      </x:c>
      <x:c r="H237" s="22" t="str">
        <x:v>⭐🔴</x:v>
      </x:c>
      <x:c r="I237" s="24" t="str">
        <x:v>07-2-3</x:v>
      </x:c>
      <x:c r="J237" s="20" t="str">
        <x:v>훈련장 근접판 엠버</x:v>
      </x:c>
      <x:c r="K237" s="16" t="str">
        <x:v>원의 가장 바깥, 끝자락이 정확히 이음매에 걸린다</x:v>
      </x:c>
      <x:c r="L237" s="16" t="str">
        <x:v>① 원의 가장 바깥, 끝자락이 정확히 이음매에 걸린다 ② 당긴다 ③ 관절이 뜯겨 나간다</x:v>
      </x:c>
      <x:c r="M237" s="16" t="str">
        <x:v>대사·SFX: 걸었다… 스위트 스폿! / 콰드득—!!</x:v>
      </x:c>
      <x:c r="N237" s="16" t="str">
        <x:v>걸었다… 스위트 스폿! / 콰드득—!!</x:v>
      </x:c>
      <x:c r="O237" s="16" t="str">
        <x:v>3,900px · 여백 중</x:v>
      </x:c>
      <x:c r="P237" s="16" t="str">
        <x:v>ONE TALL PANEL, three moments top to bottom: the outer tip of the scythe catching exactly on a joint, the shaft being pulled, the joint tearing away. Do not break this into separate panels.</x:v>
      </x:c>
      <x:c r="Q237" s="16" t="str">
        <x:v>PART_BREAK</x:v>
      </x:c>
      <x:c r="R237" s="16" t="str">
        <x:v>SIGNATURE / NONNEGOTIABLE</x:v>
      </x:c>
      <x:c r="S237" s="16" t="str">
        <x:v>결절을 걸어 끊고 온전한 결정을 회수하는 핵심 루프를 학습</x:v>
      </x:c>
      <x:c r="T237" s="16" t="str">
        <x:v>시그니처 상징의 기원</x:v>
      </x:c>
      <x:c r="U237" s="16" t="str">
        <x:v>거리 / 박자 / 원</x:v>
      </x:c>
      <x:c r="V237" s="16" t="str">
        <x:v>결절 노출·스위트 스폿·부위 파괴·소재 회수</x:v>
      </x:c>
      <x:c r="W237" s="16"/>
      <x:c r="X237" s="22" t="str">
        <x:v>NONE</x:v>
      </x:c>
      <x:c r="Y237" s="16" t="str">
        <x:v>필수 정보·좌우·거리 판독성 우선 / GLOBAL-VIS-01</x:v>
      </x:c>
      <x:c r="Z237" s="22" t="str">
        <x:v>SOURCE_SPLIT</x:v>
      </x:c>
      <x:c r="AA237" s="22"/>
      <x:c r="AB237" s="16"/>
      <x:c r="AC237" s="16" t="str">
        <x:v>EP01_대본_전량_001-282(2).md</x:v>
      </x:c>
      <x:c r="AD237" s="22" t="n">
        <x:v>2828</x:v>
      </x:c>
      <x:c r="AE237" s="139" t="str">
        <x:v>NOT_APPLICABLE</x:v>
      </x:c>
      <x:c r="AF237" s="139" t="str">
        <x:v>NONE</x:v>
      </x:c>
    </x:row>
    <x:row r="238" ht="72" customHeight="1">
      <x:c r="A238" s="24" t="str">
        <x:v>237</x:v>
      </x:c>
      <x:c r="B238" s="26" t="str">
        <x:v>B236-238</x:v>
      </x:c>
      <x:c r="C238" s="22" t="n">
        <x:v>3</x:v>
      </x:c>
      <x:c r="D238" s="22" t="str">
        <x:v>2/3</x:v>
      </x:c>
      <x:c r="E238" s="26" t="str">
        <x:v>EP01-S14</x:v>
      </x:c>
      <x:c r="F238" s="20" t="str">
        <x:v>13절 끊는 법</x:v>
      </x:c>
      <x:c r="G238" s="20" t="str">
        <x:v>극세로 블리드</x:v>
      </x:c>
      <x:c r="H238" s="22" t="str">
        <x:v>⭐🔴</x:v>
      </x:c>
      <x:c r="I238" s="24" t="str">
        <x:v>07-2-3</x:v>
      </x:c>
      <x:c r="J238" s="20" t="str">
        <x:v>훈련장 근접판 엠버</x:v>
      </x:c>
      <x:c r="K238" s="16" t="str">
        <x:v>당긴다</x:v>
      </x:c>
      <x:c r="L238" s="16" t="str">
        <x:v>① 원의 가장 바깥, 끝자락이 정확히 이음매에 걸린다 ② 당긴다 ③ 관절이 뜯겨 나간다</x:v>
      </x:c>
      <x:c r="M238" s="16" t="str">
        <x:v>대사·SFX: 걸었다… 스위트 스폿! / 콰드득—!!</x:v>
      </x:c>
      <x:c r="N238" s="16" t="str">
        <x:v>걸었다… 스위트 스폿! / 콰드득—!!</x:v>
      </x:c>
      <x:c r="O238" s="16" t="str">
        <x:v>3,900px · 여백 중</x:v>
      </x:c>
      <x:c r="P238" s="16" t="str">
        <x:v>ONE TALL PANEL, three moments top to bottom: the outer tip of the scythe catching exactly on a joint, the shaft being pulled, the joint tearing away. Do not break this into separate panels.</x:v>
      </x:c>
      <x:c r="Q238" s="16" t="str">
        <x:v>PART_BREAK</x:v>
      </x:c>
      <x:c r="R238" s="16" t="str">
        <x:v>SIGNATURE / NONNEGOTIABLE</x:v>
      </x:c>
      <x:c r="S238" s="16" t="str">
        <x:v>결절을 걸어 끊고 온전한 결정을 회수하는 핵심 루프를 학습</x:v>
      </x:c>
      <x:c r="T238" s="16" t="str">
        <x:v>시그니처 상징의 기원</x:v>
      </x:c>
      <x:c r="U238" s="16" t="str">
        <x:v>선택 / 대가 / 침묵</x:v>
      </x:c>
      <x:c r="V238" s="16" t="str">
        <x:v>결절 노출·스위트 스폿·부위 파괴·소재 회수</x:v>
      </x:c>
      <x:c r="W238" s="16"/>
      <x:c r="X238" s="22" t="str">
        <x:v>NONE</x:v>
      </x:c>
      <x:c r="Y238" s="16" t="str">
        <x:v>필수 정보·좌우·거리 판독성 우선 / GLOBAL-VIS-01</x:v>
      </x:c>
      <x:c r="Z238" s="22" t="str">
        <x:v>SOURCE_SPLIT</x:v>
      </x:c>
      <x:c r="AA238" s="22"/>
      <x:c r="AB238" s="16"/>
      <x:c r="AC238" s="16" t="str">
        <x:v>EP01_대본_전량_001-282(2).md</x:v>
      </x:c>
      <x:c r="AD238" s="22" t="n">
        <x:v>2828</x:v>
      </x:c>
      <x:c r="AE238" s="139" t="str">
        <x:v>NOT_APPLICABLE</x:v>
      </x:c>
      <x:c r="AF238" s="139" t="str">
        <x:v>NONE</x:v>
      </x:c>
    </x:row>
    <x:row r="239" ht="72" customHeight="1">
      <x:c r="A239" s="24" t="str">
        <x:v>238</x:v>
      </x:c>
      <x:c r="B239" s="26" t="str">
        <x:v>B236-238</x:v>
      </x:c>
      <x:c r="C239" s="22" t="n">
        <x:v>3</x:v>
      </x:c>
      <x:c r="D239" s="22" t="str">
        <x:v>3/3</x:v>
      </x:c>
      <x:c r="E239" s="26" t="str">
        <x:v>EP01-S14</x:v>
      </x:c>
      <x:c r="F239" s="20" t="str">
        <x:v>13절 끊는 법</x:v>
      </x:c>
      <x:c r="G239" s="20" t="str">
        <x:v>극세로 블리드</x:v>
      </x:c>
      <x:c r="H239" s="22" t="str">
        <x:v>⭐🔴</x:v>
      </x:c>
      <x:c r="I239" s="24" t="str">
        <x:v>07-2-3</x:v>
      </x:c>
      <x:c r="J239" s="20" t="str">
        <x:v>훈련장 근접판 엠버</x:v>
      </x:c>
      <x:c r="K239" s="16" t="str">
        <x:v>관절이 뜯겨 나간다</x:v>
      </x:c>
      <x:c r="L239" s="16" t="str">
        <x:v>① 원의 가장 바깥, 끝자락이 정확히 이음매에 걸린다 ② 당긴다 ③ 관절이 뜯겨 나간다</x:v>
      </x:c>
      <x:c r="M239" s="16" t="str">
        <x:v>대사·SFX: 걸었다… 스위트 스폿! / 콰드득—!!</x:v>
      </x:c>
      <x:c r="N239" s="16" t="str">
        <x:v>걸었다… 스위트 스폿! / 콰드득—!!</x:v>
      </x:c>
      <x:c r="O239" s="16" t="str">
        <x:v>3,900px · 여백 중</x:v>
      </x:c>
      <x:c r="P239" s="16" t="str">
        <x:v>ONE TALL PANEL, three moments top to bottom: the outer tip of the scythe catching exactly on a joint, the shaft being pulled, the joint tearing away. Do not break this into separate panels.</x:v>
      </x:c>
      <x:c r="Q239" s="16" t="str">
        <x:v>PART_BREAK</x:v>
      </x:c>
      <x:c r="R239" s="16" t="str">
        <x:v>SIGNATURE / NONNEGOTIABLE</x:v>
      </x:c>
      <x:c r="S239" s="16" t="str">
        <x:v>결절을 걸어 끊고 온전한 결정을 회수하는 핵심 루프를 학습</x:v>
      </x:c>
      <x:c r="T239" s="16" t="str">
        <x:v>시그니처 상징의 기원</x:v>
      </x:c>
      <x:c r="U239" s="16" t="str">
        <x:v>선택 / 대가 / 침묵</x:v>
      </x:c>
      <x:c r="V239" s="16" t="str">
        <x:v>결절 노출·스위트 스폿·부위 파괴·소재 회수</x:v>
      </x:c>
      <x:c r="W239" s="16"/>
      <x:c r="X239" s="22" t="str">
        <x:v>NONE</x:v>
      </x:c>
      <x:c r="Y239" s="16" t="str">
        <x:v>필수 정보·좌우·거리 판독성 우선 / GLOBAL-VIS-01</x:v>
      </x:c>
      <x:c r="Z239" s="22" t="str">
        <x:v>SOURCE_SPLIT</x:v>
      </x:c>
      <x:c r="AA239" s="22"/>
      <x:c r="AB239" s="16"/>
      <x:c r="AC239" s="16" t="str">
        <x:v>EP01_대본_전량_001-282(2).md</x:v>
      </x:c>
      <x:c r="AD239" s="22" t="n">
        <x:v>2828</x:v>
      </x:c>
      <x:c r="AE239" s="139" t="str">
        <x:v>NOT_APPLICABLE</x:v>
      </x:c>
      <x:c r="AF239" s="139" t="str">
        <x:v>NONE</x:v>
      </x:c>
    </x:row>
    <x:row r="240" ht="72" customHeight="1">
      <x:c r="A240" s="24" t="str">
        <x:v>239</x:v>
      </x:c>
      <x:c r="B240" s="26" t="str">
        <x:v>B239-239</x:v>
      </x:c>
      <x:c r="C240" s="22" t="n">
        <x:v>1</x:v>
      </x:c>
      <x:c r="D240" s="22" t="str">
        <x:v>1/1</x:v>
      </x:c>
      <x:c r="E240" s="26" t="str">
        <x:v>EP01-S14</x:v>
      </x:c>
      <x:c r="F240" s="20" t="str">
        <x:v>13절 끊는 법</x:v>
      </x:c>
      <x:c r="G240" s="20" t="str">
        <x:v>WIDE</x:v>
      </x:c>
      <x:c r="H240" s="22" t="str"/>
      <x:c r="I240" s="24" t="str">
        <x:v>07-2</x:v>
      </x:c>
      <x:c r="J240" s="20" t="str">
        <x:v>훈련장 엠버</x:v>
      </x:c>
      <x:c r="K240" s="16" t="str">
        <x:v>뜯긴 팔이 바닥에 떨어진다</x:v>
      </x:c>
      <x:c r="L240" s="16" t="str">
        <x:v>뜯긴 팔이 바닥에 떨어진다</x:v>
      </x:c>
      <x:c r="M240" s="16" t="str"/>
      <x:c r="N240" s="16" t="str">
        <x:v>쿵</x:v>
      </x:c>
      <x:c r="O240" s="16" t="str">
        <x:v>1,100px · 여백 중</x:v>
      </x:c>
      <x:c r="P240" s="16" t="str">
        <x:v>A torn-off arm hitting the concrete floor.</x:v>
      </x:c>
      <x:c r="Q240" s="16" t="str">
        <x:v>PART_BREAK</x:v>
      </x:c>
      <x:c r="R240" s="16" t="str"/>
      <x:c r="S240" s="16" t="str">
        <x:v>결절을 걸어 끊고 온전한 결정을 회수하는 핵심 루프를 학습</x:v>
      </x:c>
      <x:c r="T240" s="16" t="str">
        <x:v>후속 정보가 생기면 행동·배경의 의미를 재검토</x:v>
      </x:c>
      <x:c r="U240" s="16" t="str">
        <x:v>선택 / 대가 / 침묵</x:v>
      </x:c>
      <x:c r="V240" s="16" t="str">
        <x:v>결절 노출·스위트 스폿·부위 파괴·소재 회수</x:v>
      </x:c>
      <x:c r="W240" s="16"/>
      <x:c r="X240" s="22" t="str">
        <x:v>NONE</x:v>
      </x:c>
      <x:c r="Y240" s="16" t="str">
        <x:v>GLOBAL-VIS-01</x:v>
      </x:c>
      <x:c r="Z240" s="22" t="str">
        <x:v>SOURCE</x:v>
      </x:c>
      <x:c r="AA240" s="22"/>
      <x:c r="AB240" s="16"/>
      <x:c r="AC240" s="16" t="str">
        <x:v>EP01_대본_전량_001-282(2).md</x:v>
      </x:c>
      <x:c r="AD240" s="22" t="n">
        <x:v>2841</x:v>
      </x:c>
      <x:c r="AE240" s="139" t="str">
        <x:v>NOT_APPLICABLE</x:v>
      </x:c>
      <x:c r="AF240" s="139" t="str">
        <x:v>NONE</x:v>
      </x:c>
    </x:row>
    <x:row r="241" ht="72" customHeight="1">
      <x:c r="A241" s="24" t="str">
        <x:v>240</x:v>
      </x:c>
      <x:c r="B241" s="26" t="str">
        <x:v>B240-242</x:v>
      </x:c>
      <x:c r="C241" s="22" t="n">
        <x:v>3</x:v>
      </x:c>
      <x:c r="D241" s="22" t="str">
        <x:v>1/3</x:v>
      </x:c>
      <x:c r="E241" s="26" t="str">
        <x:v>EP01-S14</x:v>
      </x:c>
      <x:c r="F241" s="20" t="str">
        <x:v>13절 끊는 법</x:v>
      </x:c>
      <x:c r="G241" s="20" t="str">
        <x:v>극세로</x:v>
      </x:c>
      <x:c r="H241" s="22" t="str">
        <x:v>⭐</x:v>
      </x:c>
      <x:c r="I241" s="24" t="str">
        <x:v>07-2-3</x:v>
      </x:c>
      <x:c r="J241" s="20" t="str">
        <x:v>훈련장 근접판 엠버</x:v>
      </x:c>
      <x:c r="K241" s="16" t="str">
        <x:v>뜯겨 나간 단면</x:v>
      </x:c>
      <x:c r="L241" s="16" t="str">
        <x:v>① 뜯겨 나간 단면 ② 무언가가 굴러떨어진다 ③ 엄지손톱만 한 주황색 결정</x:v>
      </x:c>
      <x:c r="M241" s="16" t="str"/>
      <x:c r="N241" s="16" t="str"/>
      <x:c r="O241" s="16" t="str">
        <x:v>2,400px · 여백 중</x:v>
      </x:c>
      <x:c r="P241" s="16" t="str">
        <x:v>Three moments: a torn joint cross-section, something rolling out, a thumbnail-sized amber crystal.</x:v>
      </x:c>
      <x:c r="Q241" s="16" t="str">
        <x:v>PART_BREAK</x:v>
      </x:c>
      <x:c r="R241" s="16" t="str">
        <x:v>SIGNATURE</x:v>
      </x:c>
      <x:c r="S241" s="16" t="str">
        <x:v>결절을 걸어 끊고 온전한 결정을 회수하는 핵심 루프를 학습</x:v>
      </x:c>
      <x:c r="T241" s="16" t="str">
        <x:v>시그니처 상징의 기원</x:v>
      </x:c>
      <x:c r="U241" s="16" t="str">
        <x:v>선택 / 대가 / 침묵</x:v>
      </x:c>
      <x:c r="V241" s="16" t="str">
        <x:v>결절 노출·스위트 스폿·부위 파괴·소재 회수</x:v>
      </x:c>
      <x:c r="W241" s="16"/>
      <x:c r="X241" s="22" t="str">
        <x:v>NONE</x:v>
      </x:c>
      <x:c r="Y241" s="16" t="str">
        <x:v>GLOBAL-VIS-01</x:v>
      </x:c>
      <x:c r="Z241" s="22" t="str">
        <x:v>SOURCE_SPLIT</x:v>
      </x:c>
      <x:c r="AA241" s="22"/>
      <x:c r="AB241" s="16"/>
      <x:c r="AC241" s="16" t="str">
        <x:v>EP01_대본_전량_001-282(2).md</x:v>
      </x:c>
      <x:c r="AD241" s="22" t="n">
        <x:v>2854</x:v>
      </x:c>
      <x:c r="AE241" s="139" t="str">
        <x:v>NOT_APPLICABLE</x:v>
      </x:c>
      <x:c r="AF241" s="139" t="str">
        <x:v>NONE</x:v>
      </x:c>
    </x:row>
    <x:row r="242" ht="72" customHeight="1">
      <x:c r="A242" s="24" t="str">
        <x:v>241</x:v>
      </x:c>
      <x:c r="B242" s="26" t="str">
        <x:v>B240-242</x:v>
      </x:c>
      <x:c r="C242" s="22" t="n">
        <x:v>3</x:v>
      </x:c>
      <x:c r="D242" s="22" t="str">
        <x:v>2/3</x:v>
      </x:c>
      <x:c r="E242" s="26" t="str">
        <x:v>EP01-S14</x:v>
      </x:c>
      <x:c r="F242" s="20" t="str">
        <x:v>13절 끊는 법</x:v>
      </x:c>
      <x:c r="G242" s="20" t="str">
        <x:v>극세로</x:v>
      </x:c>
      <x:c r="H242" s="22" t="str">
        <x:v>⭐</x:v>
      </x:c>
      <x:c r="I242" s="24" t="str">
        <x:v>07-2-3</x:v>
      </x:c>
      <x:c r="J242" s="20" t="str">
        <x:v>훈련장 근접판 엠버</x:v>
      </x:c>
      <x:c r="K242" s="16" t="str">
        <x:v>무언가가 굴러떨어진다</x:v>
      </x:c>
      <x:c r="L242" s="16" t="str">
        <x:v>① 뜯겨 나간 단면 ② 무언가가 굴러떨어진다 ③ 엄지손톱만 한 주황색 결정</x:v>
      </x:c>
      <x:c r="M242" s="16" t="str"/>
      <x:c r="N242" s="16" t="str"/>
      <x:c r="O242" s="16" t="str">
        <x:v>2,400px · 여백 중</x:v>
      </x:c>
      <x:c r="P242" s="16" t="str">
        <x:v>Three moments: a torn joint cross-section, something rolling out, a thumbnail-sized amber crystal.</x:v>
      </x:c>
      <x:c r="Q242" s="16" t="str">
        <x:v>PART_BREAK</x:v>
      </x:c>
      <x:c r="R242" s="16" t="str">
        <x:v>SIGNATURE</x:v>
      </x:c>
      <x:c r="S242" s="16" t="str">
        <x:v>결절을 걸어 끊고 온전한 결정을 회수하는 핵심 루프를 학습</x:v>
      </x:c>
      <x:c r="T242" s="16" t="str">
        <x:v>시그니처 상징의 기원</x:v>
      </x:c>
      <x:c r="U242" s="16" t="str">
        <x:v>선택 / 대가 / 침묵</x:v>
      </x:c>
      <x:c r="V242" s="16" t="str">
        <x:v>결절 노출·스위트 스폿·부위 파괴·소재 회수</x:v>
      </x:c>
      <x:c r="W242" s="16"/>
      <x:c r="X242" s="22" t="str">
        <x:v>NONE</x:v>
      </x:c>
      <x:c r="Y242" s="16" t="str">
        <x:v>GLOBAL-VIS-01</x:v>
      </x:c>
      <x:c r="Z242" s="22" t="str">
        <x:v>SOURCE_SPLIT</x:v>
      </x:c>
      <x:c r="AA242" s="22"/>
      <x:c r="AB242" s="16"/>
      <x:c r="AC242" s="16" t="str">
        <x:v>EP01_대본_전량_001-282(2).md</x:v>
      </x:c>
      <x:c r="AD242" s="22" t="n">
        <x:v>2854</x:v>
      </x:c>
      <x:c r="AE242" s="139" t="str">
        <x:v>NOT_APPLICABLE</x:v>
      </x:c>
      <x:c r="AF242" s="139" t="str">
        <x:v>NONE</x:v>
      </x:c>
    </x:row>
    <x:row r="243" ht="72" customHeight="1">
      <x:c r="A243" s="24" t="str">
        <x:v>242</x:v>
      </x:c>
      <x:c r="B243" s="26" t="str">
        <x:v>B240-242</x:v>
      </x:c>
      <x:c r="C243" s="22" t="n">
        <x:v>3</x:v>
      </x:c>
      <x:c r="D243" s="22" t="str">
        <x:v>3/3</x:v>
      </x:c>
      <x:c r="E243" s="26" t="str">
        <x:v>EP01-S14</x:v>
      </x:c>
      <x:c r="F243" s="20" t="str">
        <x:v>13절 끊는 법</x:v>
      </x:c>
      <x:c r="G243" s="20" t="str">
        <x:v>극세로</x:v>
      </x:c>
      <x:c r="H243" s="22" t="str">
        <x:v>⭐</x:v>
      </x:c>
      <x:c r="I243" s="24" t="str">
        <x:v>07-2-3</x:v>
      </x:c>
      <x:c r="J243" s="20" t="str">
        <x:v>훈련장 근접판 엠버</x:v>
      </x:c>
      <x:c r="K243" s="16" t="str">
        <x:v>엄지손톱만 한 주황색 결정</x:v>
      </x:c>
      <x:c r="L243" s="16" t="str">
        <x:v>① 뜯겨 나간 단면 ② 무언가가 굴러떨어진다 ③ 엄지손톱만 한 주황색 결정</x:v>
      </x:c>
      <x:c r="M243" s="16" t="str"/>
      <x:c r="N243" s="16" t="str"/>
      <x:c r="O243" s="16" t="str">
        <x:v>2,400px · 여백 중</x:v>
      </x:c>
      <x:c r="P243" s="16" t="str">
        <x:v>Three moments: a torn joint cross-section, something rolling out, a thumbnail-sized amber crystal.</x:v>
      </x:c>
      <x:c r="Q243" s="16" t="str">
        <x:v>PART_BREAK</x:v>
      </x:c>
      <x:c r="R243" s="16" t="str">
        <x:v>SIGNATURE</x:v>
      </x:c>
      <x:c r="S243" s="16" t="str">
        <x:v>결절을 걸어 끊고 온전한 결정을 회수하는 핵심 루프를 학습</x:v>
      </x:c>
      <x:c r="T243" s="16" t="str">
        <x:v>시그니처 상징의 기원</x:v>
      </x:c>
      <x:c r="U243" s="16" t="str">
        <x:v>손 / 놓침 / 책임 / 각인</x:v>
      </x:c>
      <x:c r="V243" s="16" t="str">
        <x:v>결절 노출·스위트 스폿·부위 파괴·소재 회수</x:v>
      </x:c>
      <x:c r="W243" s="16"/>
      <x:c r="X243" s="22" t="str">
        <x:v>NONE</x:v>
      </x:c>
      <x:c r="Y243" s="16" t="str">
        <x:v>GLOBAL-VIS-01</x:v>
      </x:c>
      <x:c r="Z243" s="22" t="str">
        <x:v>SOURCE_SPLIT</x:v>
      </x:c>
      <x:c r="AA243" s="22"/>
      <x:c r="AB243" s="16"/>
      <x:c r="AC243" s="16" t="str">
        <x:v>EP01_대본_전량_001-282(2).md</x:v>
      </x:c>
      <x:c r="AD243" s="22" t="n">
        <x:v>2854</x:v>
      </x:c>
      <x:c r="AE243" s="139" t="str">
        <x:v>NOT_APPLICABLE</x:v>
      </x:c>
      <x:c r="AF243" s="139" t="str">
        <x:v>NONE</x:v>
      </x:c>
    </x:row>
    <x:row r="244" ht="72" customHeight="1">
      <x:c r="A244" s="24" t="str">
        <x:v>243</x:v>
      </x:c>
      <x:c r="B244" s="26" t="str">
        <x:v>B243-244</x:v>
      </x:c>
      <x:c r="C244" s="22" t="n">
        <x:v>2</x:v>
      </x:c>
      <x:c r="D244" s="22" t="str">
        <x:v>1/2</x:v>
      </x:c>
      <x:c r="E244" s="26" t="str">
        <x:v>EP01-S14</x:v>
      </x:c>
      <x:c r="F244" s="20" t="str">
        <x:v>13절 끊는 법</x:v>
      </x:c>
      <x:c r="G244" s="20" t="str">
        <x:v>ECU</x:v>
      </x:c>
      <x:c r="H244" s="22" t="str"/>
      <x:c r="I244" s="24" t="str">
        <x:v>07-2-3</x:v>
      </x:c>
      <x:c r="J244" s="20" t="str">
        <x:v>훈련장 근접판 엠버</x:v>
      </x:c>
      <x:c r="K244" s="16" t="str">
        <x:v>낫 끝으로 툭 건드려 손바닥에 받는다</x:v>
      </x:c>
      <x:c r="L244" s="16" t="str">
        <x:v>낫 끝으로 툭 건드려 손바닥에 받는다. 아직 따뜻하다</x:v>
      </x:c>
      <x:c r="M244" s="16" t="str">
        <x:v>나레이션: 아직 따뜻했고, 손안에서 희미하게 뛰고 있었다.</x:v>
      </x:c>
      <x:c r="N244" s="16" t="str"/>
      <x:c r="O244" s="16" t="str">
        <x:v>1,200px · 여백 중</x:v>
      </x:c>
      <x:c r="P244" s="16" t="str">
        <x:v>A scythe tip nudging a crystal into an open palm. It still pulses faintly.</x:v>
      </x:c>
      <x:c r="Q244" s="16" t="str">
        <x:v>PART_BREAK</x:v>
      </x:c>
      <x:c r="R244" s="16" t="str"/>
      <x:c r="S244" s="16" t="str">
        <x:v>결절을 걸어 끊고 온전한 결정을 회수하는 핵심 루프를 학습</x:v>
      </x:c>
      <x:c r="T244" s="16" t="str">
        <x:v>후속 정보가 생기면 행동·배경의 의미를 재검토</x:v>
      </x:c>
      <x:c r="U244" s="16" t="str">
        <x:v>손 / 놓침 / 책임 / 거리</x:v>
      </x:c>
      <x:c r="V244" s="16" t="str">
        <x:v>결절 노출·스위트 스폿·부위 파괴·소재 회수</x:v>
      </x:c>
      <x:c r="W244" s="16"/>
      <x:c r="X244" s="22" t="str">
        <x:v>NONE</x:v>
      </x:c>
      <x:c r="Y244" s="16" t="str">
        <x:v>GLOBAL-VIS-01</x:v>
      </x:c>
      <x:c r="Z244" s="22" t="str">
        <x:v>EDITORIAL_SPLIT</x:v>
      </x:c>
      <x:c r="AA244" s="22"/>
      <x:c r="AB244" s="16"/>
      <x:c r="AC244" s="16" t="str">
        <x:v>EP01_대본_전량_001-282(2).md</x:v>
      </x:c>
      <x:c r="AD244" s="22" t="n">
        <x:v>2866</x:v>
      </x:c>
      <x:c r="AE244" s="139" t="str">
        <x:v>NOT_APPLICABLE</x:v>
      </x:c>
      <x:c r="AF244" s="139" t="str">
        <x:v>NONE</x:v>
      </x:c>
    </x:row>
    <x:row r="245" ht="72" customHeight="1">
      <x:c r="A245" s="24" t="str">
        <x:v>244</x:v>
      </x:c>
      <x:c r="B245" s="26" t="str">
        <x:v>B243-244</x:v>
      </x:c>
      <x:c r="C245" s="22" t="n">
        <x:v>2</x:v>
      </x:c>
      <x:c r="D245" s="22" t="str">
        <x:v>2/2</x:v>
      </x:c>
      <x:c r="E245" s="26" t="str">
        <x:v>EP01-S14</x:v>
      </x:c>
      <x:c r="F245" s="20" t="str">
        <x:v>13절 끊는 법</x:v>
      </x:c>
      <x:c r="G245" s="20" t="str">
        <x:v>ECU</x:v>
      </x:c>
      <x:c r="H245" s="22" t="str"/>
      <x:c r="I245" s="24" t="str">
        <x:v>07-2-3</x:v>
      </x:c>
      <x:c r="J245" s="20" t="str">
        <x:v>훈련장 근접판 엠버</x:v>
      </x:c>
      <x:c r="K245" s="16" t="str">
        <x:v>아직 따뜻하다</x:v>
      </x:c>
      <x:c r="L245" s="16" t="str">
        <x:v>낫 끝으로 툭 건드려 손바닥에 받는다. 아직 따뜻하다</x:v>
      </x:c>
      <x:c r="M245" s="16" t="str">
        <x:v>나레이션: 아직 따뜻했고, 손안에서 희미하게 뛰고 있었다.</x:v>
      </x:c>
      <x:c r="N245" s="16" t="str"/>
      <x:c r="O245" s="16" t="str">
        <x:v>1,200px · 여백 중</x:v>
      </x:c>
      <x:c r="P245" s="16" t="str">
        <x:v>A scythe tip nudging a crystal into an open palm. It still pulses faintly.</x:v>
      </x:c>
      <x:c r="Q245" s="16" t="str">
        <x:v>PART_BREAK</x:v>
      </x:c>
      <x:c r="R245" s="16" t="str"/>
      <x:c r="S245" s="16" t="str">
        <x:v>결절을 걸어 끊고 온전한 결정을 회수하는 핵심 루프를 학습</x:v>
      </x:c>
      <x:c r="T245" s="16" t="str">
        <x:v>후속 정보가 생기면 행동·배경의 의미를 재검토</x:v>
      </x:c>
      <x:c r="U245" s="16" t="str">
        <x:v>선택 / 대가 / 침묵</x:v>
      </x:c>
      <x:c r="V245" s="16" t="str">
        <x:v>결절 노출·스위트 스폿·부위 파괴·소재 회수</x:v>
      </x:c>
      <x:c r="W245" s="16"/>
      <x:c r="X245" s="22" t="str">
        <x:v>NONE</x:v>
      </x:c>
      <x:c r="Y245" s="16" t="str">
        <x:v>GLOBAL-VIS-01</x:v>
      </x:c>
      <x:c r="Z245" s="22" t="str">
        <x:v>EDITORIAL_SPLIT</x:v>
      </x:c>
      <x:c r="AA245" s="22"/>
      <x:c r="AB245" s="16"/>
      <x:c r="AC245" s="16" t="str">
        <x:v>EP01_대본_전량_001-282(2).md</x:v>
      </x:c>
      <x:c r="AD245" s="22" t="n">
        <x:v>2866</x:v>
      </x:c>
      <x:c r="AE245" s="139" t="str">
        <x:v>NOT_APPLICABLE</x:v>
      </x:c>
      <x:c r="AF245" s="139" t="str">
        <x:v>NONE</x:v>
      </x:c>
    </x:row>
    <x:row r="246" ht="72" customHeight="1">
      <x:c r="A246" s="24" t="str">
        <x:v>245</x:v>
      </x:c>
      <x:c r="B246" s="26" t="str">
        <x:v>B245-245</x:v>
      </x:c>
      <x:c r="C246" s="22" t="n">
        <x:v>1</x:v>
      </x:c>
      <x:c r="D246" s="22" t="str">
        <x:v>1/1</x:v>
      </x:c>
      <x:c r="E246" s="26" t="str">
        <x:v>EP01-S14</x:v>
      </x:c>
      <x:c r="F246" s="20" t="str">
        <x:v>13절 끊는 법</x:v>
      </x:c>
      <x:c r="G246" s="20" t="str">
        <x:v>ECU 세로 2단</x:v>
      </x:c>
      <x:c r="H246" s="22" t="str">
        <x:v>⭐🔒</x:v>
      </x:c>
      <x:c r="I246" s="24" t="str">
        <x:v>07-2-3</x:v>
      </x:c>
      <x:c r="J246" s="20" t="str">
        <x:v>훈련장 근접판 엠버</x:v>
      </x:c>
      <x:c r="K246" s="16" t="str">
        <x:v>위: 손바닥의 결정 / 아래: 목덜미 코어. 같은 색, 같은 박자</x:v>
      </x:c>
      <x:c r="L246" s="16" t="str">
        <x:v>위: 손바닥의 결정 / 아래: 목덜미 코어. 같은 색, 같은 박자</x:v>
      </x:c>
      <x:c r="M246" s="16" t="str"/>
      <x:c r="N246" s="16" t="str"/>
      <x:c r="O246" s="16" t="str">
        <x:v>2,600px · 여백 중</x:v>
      </x:c>
      <x:c r="P246" s="16" t="str">
        <x:v>TWO STACKED PANELS, identical to cut 015. Top: an amber crystal in a palm. Bottom: the amber core at a nape. Same color, same pulse.</x:v>
      </x:c>
      <x:c r="Q246" s="16" t="str">
        <x:v>PART_BREAK</x:v>
      </x:c>
      <x:c r="R246" s="16" t="str">
        <x:v>SIGNATURE / CALLBACK</x:v>
      </x:c>
      <x:c r="S246" s="16" t="str">
        <x:v>결절을 걸어 끊고 온전한 결정을 회수하는 핵심 루프를 학습</x:v>
      </x:c>
      <x:c r="T246" s="16" t="str">
        <x:v>동일 구도 반복이 관계·기억의 변화를 증명 / 시그니처 상징의 기원 / EP27에서 두 목소리와 공명의 정체가 회수됨</x:v>
      </x:c>
      <x:c r="U246" s="16" t="str">
        <x:v>손 / 놓침 / 책임 / 각인</x:v>
      </x:c>
      <x:c r="V246" s="16" t="str">
        <x:v>결절 노출·스위트 스폿·부위 파괴·소재 회수 / 코어와 드롭 소재의 동일 펄스 피드백</x:v>
      </x:c>
      <x:c r="W246" s="16" t="str">
        <x:v>PAYOFF: EP27~28: 코어·결정·등대 공명</x:v>
      </x:c>
      <x:c r="X246" s="22" t="str">
        <x:v>PAYOFF</x:v>
      </x:c>
      <x:c r="Y246" s="16" t="str">
        <x:v>지정 컷과 동일 구도 / GLOBAL-VIS-01</x:v>
      </x:c>
      <x:c r="Z246" s="22" t="str">
        <x:v>SOURCE</x:v>
      </x:c>
      <x:c r="AA246" s="22"/>
      <x:c r="AB246" s="16"/>
      <x:c r="AC246" s="16" t="str">
        <x:v>EP01_대본_전량_001-282(2).md</x:v>
      </x:c>
      <x:c r="AD246" s="22" t="n">
        <x:v>2879</x:v>
      </x:c>
      <x:c r="AE246" s="139" t="str">
        <x:v>PUBLIC_CANON</x:v>
      </x:c>
      <x:c r="AF246" s="139" t="str">
        <x:v>CONTRACT</x:v>
      </x:c>
    </x:row>
    <x:row r="247" ht="72" customHeight="1">
      <x:c r="A247" s="24" t="str">
        <x:v>246</x:v>
      </x:c>
      <x:c r="B247" s="26" t="str">
        <x:v>B246-247</x:v>
      </x:c>
      <x:c r="C247" s="22" t="n">
        <x:v>2</x:v>
      </x:c>
      <x:c r="D247" s="22" t="str">
        <x:v>1/2</x:v>
      </x:c>
      <x:c r="E247" s="26" t="str">
        <x:v>EP01-S14</x:v>
      </x:c>
      <x:c r="F247" s="20" t="str">
        <x:v>13절 끊는 법</x:v>
      </x:c>
      <x:c r="G247" s="20" t="str">
        <x:v>CU</x:v>
      </x:c>
      <x:c r="H247" s="22" t="str">
        <x:v>🎣</x:v>
      </x:c>
      <x:c r="I247" s="24" t="str">
        <x:v>07-2-3</x:v>
      </x:c>
      <x:c r="J247" s="20" t="str">
        <x:v>훈련장 근접판 엠버</x:v>
      </x:c>
      <x:c r="K247" s="16" t="str">
        <x:v>그것을 들여다본다</x:v>
      </x:c>
      <x:c r="L247" s="16" t="str">
        <x:v>그것을 들여다본다</x:v>
      </x:c>
      <x:c r="M247" s="16" t="str">
        <x:v>대사 · 아인: 「…부위를 부숴야만 나오는 거였나.」</x:v>
      </x:c>
      <x:c r="N247" s="16" t="str"/>
      <x:c r="O247" s="16" t="str">
        <x:v>1,100px · 여백 중</x:v>
      </x:c>
      <x:c r="P247" s="16" t="str">
        <x:v>A woman looking down at the crystal in her palm.</x:v>
      </x:c>
      <x:c r="Q247" s="16" t="str">
        <x:v>PART_BREAK</x:v>
      </x:c>
      <x:c r="R247" s="16" t="str">
        <x:v>FORESHADOW</x:v>
      </x:c>
      <x:c r="S247" s="16" t="str">
        <x:v>결절을 걸어 끊고 온전한 결정을 회수하는 핵심 루프를 학습</x:v>
      </x:c>
      <x:c r="T247" s="16" t="str">
        <x:v>처음에는 배경·노이즈로 보인 정보의 의미가 바뀜</x:v>
      </x:c>
      <x:c r="U247" s="16" t="str">
        <x:v>선택 / 대가 / 침묵</x:v>
      </x:c>
      <x:c r="V247" s="16" t="str">
        <x:v>결절 노출·스위트 스폿·부위 파괴·소재 회수 / 코어와 드롭 소재의 동일 펄스 피드백</x:v>
      </x:c>
      <x:c r="W247" s="16" t="str">
        <x:v>PAYOFF: EP23~27: 수확 구조의 의미</x:v>
      </x:c>
      <x:c r="X247" s="22" t="str">
        <x:v>PAYOFF</x:v>
      </x:c>
      <x:c r="Y247" s="16" t="str">
        <x:v>복선 강조 금지 / 아인 왼쪽 견갑·오른쪽 건틀릿 좌우 고정 / GLOBAL-VIS-01</x:v>
      </x:c>
      <x:c r="Z247" s="22" t="str">
        <x:v>EDITORIAL_REVIEW</x:v>
      </x:c>
      <x:c r="AA247" s="22"/>
      <x:c r="AB247" s="16"/>
      <x:c r="AC247" s="16" t="str">
        <x:v>EP01_대본_전량_001-282(2).md</x:v>
      </x:c>
      <x:c r="AD247" s="22" t="n">
        <x:v>2891</x:v>
      </x:c>
      <x:c r="AE247" s="139" t="str">
        <x:v>PUBLIC_CANON</x:v>
      </x:c>
      <x:c r="AF247" s="139" t="str">
        <x:v>CONTRACT</x:v>
      </x:c>
    </x:row>
    <x:row r="248" ht="72" customHeight="1">
      <x:c r="A248" s="24" t="str">
        <x:v>247</x:v>
      </x:c>
      <x:c r="B248" s="26" t="str">
        <x:v>B246-247</x:v>
      </x:c>
      <x:c r="C248" s="22" t="n">
        <x:v>2</x:v>
      </x:c>
      <x:c r="D248" s="22" t="str">
        <x:v>2/2</x:v>
      </x:c>
      <x:c r="E248" s="26" t="str">
        <x:v>EP01-S14</x:v>
      </x:c>
      <x:c r="F248" s="20" t="str">
        <x:v>13절 끊는 법</x:v>
      </x:c>
      <x:c r="G248" s="20" t="str">
        <x:v>CU 카인·인서트</x:v>
      </x:c>
      <x:c r="H248" s="22" t="str">
        <x:v>🎣</x:v>
      </x:c>
      <x:c r="I248" s="24" t="str">
        <x:v>07-2-3</x:v>
      </x:c>
      <x:c r="J248" s="20" t="str">
        <x:v>훈련장 근접판 엠버</x:v>
      </x:c>
      <x:c r="K248" s="16" t="str">
        <x:v>카인이 뒤에서 짚단 잔해를 뒤적여 회색 가루를 손바닥에 들어 보인다.</x:v>
      </x:c>
      <x:c r="L248" s="16" t="str">
        <x:v>카인이 뒤에서 짚단 잔해를 뒤적이고 있었다. ‘…또 가루야.’</x:v>
      </x:c>
      <x:c r="M248" s="16" t="str">
        <x:v>대사 · 카인: 「…또 가루야.」</x:v>
      </x:c>
      <x:c r="N248" s="16" t="str">
        <x:v>가루 사락</x:v>
      </x:c>
      <x:c r="O248" s="16" t="str">
        <x:v>1,100px · 여백 중</x:v>
      </x:c>
      <x:c r="P248" s="16" t="str">
        <x:v>A woman looking down at the crystal in her palm.</x:v>
      </x:c>
      <x:c r="Q248" s="16" t="str">
        <x:v>PART_BREAK</x:v>
      </x:c>
      <x:c r="R248" s="16" t="str">
        <x:v>FORESHADOW</x:v>
      </x:c>
      <x:c r="S248" s="16" t="str">
        <x:v>결절을 걸어 끊고 온전한 결정을 회수하는 핵심 루프를 학습</x:v>
      </x:c>
      <x:c r="T248" s="16" t="str">
        <x:v>처음에는 배경·노이즈로 보인 정보의 의미가 바뀜</x:v>
      </x:c>
      <x:c r="U248" s="16" t="str">
        <x:v>선택 / 대가 / 침묵</x:v>
      </x:c>
      <x:c r="V248" s="16" t="str">
        <x:v>결절 노출·스위트 스폿·부위 파괴·소재 회수</x:v>
      </x:c>
      <x:c r="W248" s="16"/>
      <x:c r="X248" s="22" t="str">
        <x:v>NONE</x:v>
      </x:c>
      <x:c r="Y248" s="16" t="str">
        <x:v>복선 강조 금지 / 아인 왼쪽 견갑·오른쪽 건틀릿 좌우 고정 / GLOBAL-VIS-01</x:v>
      </x:c>
      <x:c r="Z248" s="22" t="str">
        <x:v>EDITORIAL_CANON_SPLIT</x:v>
      </x:c>
      <x:c r="AA248" s="22"/>
      <x:c r="AB248" s="16" t="str">
        <x:v>소설 13절의 회색 가루 대조를 CUT247에 배치해 온전한 결정과 분쇄 드롭의 차이를 시각화.</x:v>
      </x:c>
      <x:c r="AC248" s="16" t="str">
        <x:v>소설_EP01_황혼_아래_사신의_낫(1).md</x:v>
      </x:c>
      <x:c r="AD248" s="22" t="n">
        <x:v>922</x:v>
      </x:c>
      <x:c r="AE248" s="139" t="str">
        <x:v>NOT_APPLICABLE</x:v>
      </x:c>
      <x:c r="AF248" s="139" t="str">
        <x:v>NONE</x:v>
      </x:c>
    </x:row>
    <x:row r="249" ht="72" customHeight="1">
      <x:c r="A249" s="24" t="str">
        <x:v>248</x:v>
      </x:c>
      <x:c r="B249" s="26" t="str">
        <x:v>B248-249</x:v>
      </x:c>
      <x:c r="C249" s="22" t="n">
        <x:v>2</x:v>
      </x:c>
      <x:c r="D249" s="22" t="str">
        <x:v>1/2</x:v>
      </x:c>
      <x:c r="E249" s="26" t="str">
        <x:v>EP01-S14</x:v>
      </x:c>
      <x:c r="F249" s="20" t="str">
        <x:v>13절 끊는 법</x:v>
      </x:c>
      <x:c r="G249" s="20" t="str">
        <x:v>MS</x:v>
      </x:c>
      <x:c r="H249" s="22" t="str"/>
      <x:c r="I249" s="24" t="str">
        <x:v>07-2</x:v>
      </x:c>
      <x:c r="J249" s="20" t="str">
        <x:v>훈련장 엠버</x:v>
      </x:c>
      <x:c r="K249" s="16" t="str">
        <x:v>주머니에 넣는다</x:v>
      </x:c>
      <x:c r="L249" s="16" t="str">
        <x:v>주머니에 넣는다 → 놈이 무너진다</x:v>
      </x:c>
      <x:c r="M249" s="16" t="str"/>
      <x:c r="N249" s="16" t="str">
        <x:v>쿠웅</x:v>
      </x:c>
      <x:c r="O249" s="16" t="str">
        <x:v>1,200px · 여백 중</x:v>
      </x:c>
      <x:c r="P249" s="16" t="str">
        <x:v>A crystal pocketed. Behind her, the construct collapses.</x:v>
      </x:c>
      <x:c r="Q249" s="16" t="str">
        <x:v>PART_BREAK</x:v>
      </x:c>
      <x:c r="R249" s="16" t="str"/>
      <x:c r="S249" s="16" t="str">
        <x:v>결절을 걸어 끊고 온전한 결정을 회수하는 핵심 루프를 학습</x:v>
      </x:c>
      <x:c r="T249" s="16" t="str">
        <x:v>후속 정보가 생기면 행동·배경의 의미를 재검토</x:v>
      </x:c>
      <x:c r="U249" s="16" t="str">
        <x:v>선택 / 대가 / 침묵</x:v>
      </x:c>
      <x:c r="V249" s="16" t="str">
        <x:v>결절 노출·스위트 스폿·부위 파괴·소재 회수</x:v>
      </x:c>
      <x:c r="W249" s="16"/>
      <x:c r="X249" s="22" t="str">
        <x:v>NONE</x:v>
      </x:c>
      <x:c r="Y249" s="16" t="str">
        <x:v>GLOBAL-VIS-01</x:v>
      </x:c>
      <x:c r="Z249" s="22" t="str">
        <x:v>SOURCE_SPLIT</x:v>
      </x:c>
      <x:c r="AA249" s="22"/>
      <x:c r="AB249" s="16"/>
      <x:c r="AC249" s="16" t="str">
        <x:v>EP01_대본_전량_001-282(2).md</x:v>
      </x:c>
      <x:c r="AD249" s="22" t="n">
        <x:v>2904</x:v>
      </x:c>
      <x:c r="AE249" s="139" t="str">
        <x:v>NOT_APPLICABLE</x:v>
      </x:c>
      <x:c r="AF249" s="139" t="str">
        <x:v>NONE</x:v>
      </x:c>
    </x:row>
    <x:row r="250" ht="72" customHeight="1">
      <x:c r="A250" s="24" t="str">
        <x:v>249</x:v>
      </x:c>
      <x:c r="B250" s="26" t="str">
        <x:v>B248-249</x:v>
      </x:c>
      <x:c r="C250" s="22" t="n">
        <x:v>2</x:v>
      </x:c>
      <x:c r="D250" s="22" t="str">
        <x:v>2/2</x:v>
      </x:c>
      <x:c r="E250" s="26" t="str">
        <x:v>EP01-S14</x:v>
      </x:c>
      <x:c r="F250" s="20" t="str">
        <x:v>13절 끊는 법</x:v>
      </x:c>
      <x:c r="G250" s="20" t="str">
        <x:v>MS</x:v>
      </x:c>
      <x:c r="H250" s="22" t="str"/>
      <x:c r="I250" s="24" t="str">
        <x:v>07-2</x:v>
      </x:c>
      <x:c r="J250" s="20" t="str">
        <x:v>훈련장 엠버</x:v>
      </x:c>
      <x:c r="K250" s="16" t="str">
        <x:v>놈이 무너진다</x:v>
      </x:c>
      <x:c r="L250" s="16" t="str">
        <x:v>주머니에 넣는다 → 놈이 무너진다</x:v>
      </x:c>
      <x:c r="M250" s="16" t="str"/>
      <x:c r="N250" s="16" t="str">
        <x:v>쿠웅</x:v>
      </x:c>
      <x:c r="O250" s="16" t="str">
        <x:v>1,200px · 여백 중</x:v>
      </x:c>
      <x:c r="P250" s="16" t="str">
        <x:v>A crystal pocketed. Behind her, the construct collapses.</x:v>
      </x:c>
      <x:c r="Q250" s="16" t="str">
        <x:v>PART_BREAK</x:v>
      </x:c>
      <x:c r="R250" s="16" t="str"/>
      <x:c r="S250" s="16" t="str">
        <x:v>결절을 걸어 끊고 온전한 결정을 회수하는 핵심 루프를 학습</x:v>
      </x:c>
      <x:c r="T250" s="16" t="str">
        <x:v>후속 정보가 생기면 행동·배경의 의미를 재검토</x:v>
      </x:c>
      <x:c r="U250" s="16" t="str">
        <x:v>선택 / 대가 / 침묵</x:v>
      </x:c>
      <x:c r="V250" s="16" t="str">
        <x:v>결절 노출·스위트 스폿·부위 파괴·소재 회수</x:v>
      </x:c>
      <x:c r="W250" s="16"/>
      <x:c r="X250" s="22" t="str">
        <x:v>NONE</x:v>
      </x:c>
      <x:c r="Y250" s="16" t="str">
        <x:v>GLOBAL-VIS-01</x:v>
      </x:c>
      <x:c r="Z250" s="22" t="str">
        <x:v>SOURCE_SPLIT</x:v>
      </x:c>
      <x:c r="AA250" s="22"/>
      <x:c r="AB250" s="16"/>
      <x:c r="AC250" s="16" t="str">
        <x:v>EP01_대본_전량_001-282(2).md</x:v>
      </x:c>
      <x:c r="AD250" s="22" t="n">
        <x:v>2904</x:v>
      </x:c>
      <x:c r="AE250" s="139" t="str">
        <x:v>NOT_APPLICABLE</x:v>
      </x:c>
      <x:c r="AF250" s="139" t="str">
        <x:v>NONE</x:v>
      </x:c>
    </x:row>
    <x:row r="251" ht="72" customHeight="1">
      <x:c r="A251" s="24" t="str">
        <x:v>250</x:v>
      </x:c>
      <x:c r="B251" s="26" t="str">
        <x:v>B250-250</x:v>
      </x:c>
      <x:c r="C251" s="22" t="n">
        <x:v>1</x:v>
      </x:c>
      <x:c r="D251" s="22" t="str">
        <x:v>1/1</x:v>
      </x:c>
      <x:c r="E251" s="26" t="str">
        <x:v>EP01-S14</x:v>
      </x:c>
      <x:c r="F251" s="20" t="str">
        <x:v>13절 끊는 법</x:v>
      </x:c>
      <x:c r="G251" s="20" t="str">
        <x:v>EWIDE</x:v>
      </x:c>
      <x:c r="H251" s="22" t="str">
        <x:v>🎭</x:v>
      </x:c>
      <x:c r="I251" s="24" t="str">
        <x:v>07-2</x:v>
      </x:c>
      <x:c r="J251" s="20" t="str">
        <x:v>훈련장 엠버</x:v>
      </x:c>
      <x:c r="K251" s="16" t="str">
        <x:v>짚단 잔해. 조용해진 훈련장</x:v>
      </x:c>
      <x:c r="L251" s="16" t="str">
        <x:v>짚단 잔해. 조용해진 훈련장</x:v>
      </x:c>
      <x:c r="M251" s="16" t="str">
        <x:v>나레이션: 왜 하필 그렇게 되어 있는지는, 아직 아무도 묻지 않았다.</x:v>
      </x:c>
      <x:c r="N251" s="16" t="str"/>
      <x:c r="O251" s="16" t="str">
        <x:v>1,400px · 여백 극</x:v>
      </x:c>
      <x:c r="P251" s="16" t="str">
        <x:v>Wide view of a training hall gone quiet. Straw debris everywhere.</x:v>
      </x:c>
      <x:c r="Q251" s="16" t="str">
        <x:v>PART_BREAK</x:v>
      </x:c>
      <x:c r="R251" s="16" t="str">
        <x:v>HUMAN_BEAT</x:v>
      </x:c>
      <x:c r="S251" s="16" t="str">
        <x:v>결절을 걸어 끊고 온전한 결정을 회수하는 핵심 루프를 학습</x:v>
      </x:c>
      <x:c r="T251" s="16" t="str">
        <x:v>후속 정보가 생기면 행동·배경의 의미를 재검토</x:v>
      </x:c>
      <x:c r="U251" s="16" t="str">
        <x:v>선택 / 대가 / 침묵</x:v>
      </x:c>
      <x:c r="V251" s="16" t="str">
        <x:v>결절 노출·스위트 스폿·부위 파괴·소재 회수</x:v>
      </x:c>
      <x:c r="W251" s="16" t="str">
        <x:v>PAYOFF: EP23~27: 수확 구조의 의미</x:v>
      </x:c>
      <x:c r="X251" s="22" t="str">
        <x:v>PAYOFF</x:v>
      </x:c>
      <x:c r="Y251" s="16" t="str">
        <x:v>GLOBAL-VIS-01</x:v>
      </x:c>
      <x:c r="Z251" s="22" t="str">
        <x:v>SOURCE</x:v>
      </x:c>
      <x:c r="AA251" s="22"/>
      <x:c r="AB251" s="16"/>
      <x:c r="AC251" s="16" t="str">
        <x:v>EP01_대본_전량_001-282(2).md</x:v>
      </x:c>
      <x:c r="AD251" s="22" t="n">
        <x:v>2917</x:v>
      </x:c>
      <x:c r="AE251" s="139" t="str">
        <x:v>PUBLIC_CANON</x:v>
      </x:c>
      <x:c r="AF251" s="139" t="str">
        <x:v>CONTRACT</x:v>
      </x:c>
    </x:row>
    <x:row r="252" ht="72" customHeight="1">
      <x:c r="A252" s="24" t="str">
        <x:v>251</x:v>
      </x:c>
      <x:c r="B252" s="26" t="str">
        <x:v>B251-251</x:v>
      </x:c>
      <x:c r="C252" s="22" t="n">
        <x:v>1</x:v>
      </x:c>
      <x:c r="D252" s="22" t="str">
        <x:v>1/1</x:v>
      </x:c>
      <x:c r="E252" s="26" t="str">
        <x:v>EP01-S15</x:v>
      </x:c>
      <x:c r="F252" s="20" t="str">
        <x:v>14절 손실</x:v>
      </x:c>
      <x:c r="G252" s="20" t="str">
        <x:v>MS</x:v>
      </x:c>
      <x:c r="H252" s="22" t="str"/>
      <x:c r="I252" s="24" t="str">
        <x:v>07-2-2</x:v>
      </x:c>
      <x:c r="J252" s="20" t="str">
        <x:v>관측창</x:v>
      </x:c>
      <x:c r="K252" s="16" t="str">
        <x:v>관측창 문이 박차고 열린다</x:v>
      </x:c>
      <x:c r="L252" s="16" t="str">
        <x:v>관측창 문이 박차고 열린다</x:v>
      </x:c>
      <x:c r="M252" s="16" t="str"/>
      <x:c r="N252" s="16" t="str">
        <x:v>쾅</x:v>
      </x:c>
      <x:c r="O252" s="16" t="str">
        <x:v>430px · 여백 좁</x:v>
      </x:c>
      <x:c r="P252" s="16" t="str">
        <x:v>An observation room door kicked open.</x:v>
      </x:c>
      <x:c r="Q252" s="16" t="str">
        <x:v>HUMAN_CONSEQUENCE</x:v>
      </x:c>
      <x:c r="R252" s="16" t="str"/>
      <x:c r="S252" s="16" t="str">
        <x:v>승리 직후 생활비·농담·관계의 온도로 긴장을 착지</x:v>
      </x:c>
      <x:c r="T252" s="16" t="str">
        <x:v>후속 정보가 생기면 행동·배경의 의미를 재검토</x:v>
      </x:c>
      <x:c r="U252" s="16" t="str">
        <x:v>생활비 / 농담 / 손실</x:v>
      </x:c>
      <x:c r="V252" s="16" t="str">
        <x:v>전투 후 대화·생활비 정산</x:v>
      </x:c>
      <x:c r="W252" s="16"/>
      <x:c r="X252" s="22" t="str">
        <x:v>NONE</x:v>
      </x:c>
      <x:c r="Y252" s="16" t="str">
        <x:v>GLOBAL-VIS-01</x:v>
      </x:c>
      <x:c r="Z252" s="22" t="str">
        <x:v>SOURCE</x:v>
      </x:c>
      <x:c r="AA252" s="22"/>
      <x:c r="AB252" s="16"/>
      <x:c r="AC252" s="16" t="str">
        <x:v>EP01_대본_전량_001-282(2).md</x:v>
      </x:c>
      <x:c r="AD252" s="22" t="n">
        <x:v>2936</x:v>
      </x:c>
      <x:c r="AE252" s="139" t="str">
        <x:v>NOT_APPLICABLE</x:v>
      </x:c>
      <x:c r="AF252" s="139" t="str">
        <x:v>NONE</x:v>
      </x:c>
    </x:row>
    <x:row r="253" ht="72" customHeight="1">
      <x:c r="A253" s="24" t="str">
        <x:v>252</x:v>
      </x:c>
      <x:c r="B253" s="26" t="str">
        <x:v>B252-253</x:v>
      </x:c>
      <x:c r="C253" s="22" t="n">
        <x:v>2</x:v>
      </x:c>
      <x:c r="D253" s="22" t="str">
        <x:v>1/2</x:v>
      </x:c>
      <x:c r="E253" s="26" t="str">
        <x:v>EP01-S15</x:v>
      </x:c>
      <x:c r="F253" s="20" t="str">
        <x:v>14절 손실</x:v>
      </x:c>
      <x:c r="G253" s="20" t="str">
        <x:v>MS 마태오</x:v>
      </x:c>
      <x:c r="H253" s="22" t="str"/>
      <x:c r="I253" s="24" t="str">
        <x:v>06-1-3</x:v>
      </x:c>
      <x:c r="J253" s="20" t="str">
        <x:v>사무소 근접판</x:v>
      </x:c>
      <x:c r="K253" s="16" t="str">
        <x:v>걸어 들어온다</x:v>
      </x:c>
      <x:c r="L253" s="16" t="str">
        <x:v>걸어 들어온다. 담배는 여전히 불이 없다</x:v>
      </x:c>
      <x:c r="M253" s="16" t="str">
        <x:v>대사 · 마태오: 「…합격이다. 신입들. 아니— 용병단.」</x:v>
      </x:c>
      <x:c r="N253" s="16" t="str"/>
      <x:c r="O253" s="16" t="str">
        <x:v>430px · 여백 중</x:v>
      </x:c>
      <x:c r="P253" s="16" t="str">
        <x:v>An older man walking in, unlit cigarette still in his mouth.</x:v>
      </x:c>
      <x:c r="Q253" s="16" t="str">
        <x:v>HUMAN_CONSEQUENCE</x:v>
      </x:c>
      <x:c r="R253" s="16" t="str"/>
      <x:c r="S253" s="16" t="str">
        <x:v>승리 직후 생활비·농담·관계의 온도로 긴장을 착지</x:v>
      </x:c>
      <x:c r="T253" s="16" t="str">
        <x:v>후속 정보가 생기면 행동·배경의 의미를 재검토</x:v>
      </x:c>
      <x:c r="U253" s="16" t="str">
        <x:v>생활비 / 농담 / 손실</x:v>
      </x:c>
      <x:c r="V253" s="16" t="str">
        <x:v>전투 후 대화·생활비 정산</x:v>
      </x:c>
      <x:c r="W253" s="16"/>
      <x:c r="X253" s="22" t="str">
        <x:v>NONE</x:v>
      </x:c>
      <x:c r="Y253" s="16" t="str">
        <x:v>GLOBAL-VIS-01</x:v>
      </x:c>
      <x:c r="Z253" s="22" t="str">
        <x:v>EDITORIAL_SPLIT</x:v>
      </x:c>
      <x:c r="AA253" s="22"/>
      <x:c r="AB253" s="16"/>
      <x:c r="AC253" s="16" t="str">
        <x:v>EP01_대본_전량_001-282(2).md</x:v>
      </x:c>
      <x:c r="AD253" s="22" t="n">
        <x:v>2949</x:v>
      </x:c>
      <x:c r="AE253" s="139" t="str">
        <x:v>NOT_APPLICABLE</x:v>
      </x:c>
      <x:c r="AF253" s="139" t="str">
        <x:v>NONE</x:v>
      </x:c>
    </x:row>
    <x:row r="254" ht="72" customHeight="1">
      <x:c r="A254" s="24" t="str">
        <x:v>253</x:v>
      </x:c>
      <x:c r="B254" s="26" t="str">
        <x:v>B252-253</x:v>
      </x:c>
      <x:c r="C254" s="22" t="n">
        <x:v>2</x:v>
      </x:c>
      <x:c r="D254" s="22" t="str">
        <x:v>2/2</x:v>
      </x:c>
      <x:c r="E254" s="26" t="str">
        <x:v>EP01-S15</x:v>
      </x:c>
      <x:c r="F254" s="20" t="str">
        <x:v>14절 손실</x:v>
      </x:c>
      <x:c r="G254" s="20" t="str">
        <x:v>MS 마태오</x:v>
      </x:c>
      <x:c r="H254" s="22" t="str"/>
      <x:c r="I254" s="24" t="str">
        <x:v>06-1-3</x:v>
      </x:c>
      <x:c r="J254" s="20" t="str">
        <x:v>사무소 근접판</x:v>
      </x:c>
      <x:c r="K254" s="16" t="str">
        <x:v>담배는 여전히 불이 없다</x:v>
      </x:c>
      <x:c r="L254" s="16" t="str">
        <x:v>걸어 들어온다. 담배는 여전히 불이 없다</x:v>
      </x:c>
      <x:c r="M254" s="16" t="str">
        <x:v>대사 · 마태오: 「…합격이다. 신입들. 아니— 용병단.」</x:v>
      </x:c>
      <x:c r="N254" s="16" t="str"/>
      <x:c r="O254" s="16" t="str">
        <x:v>430px · 여백 중</x:v>
      </x:c>
      <x:c r="P254" s="16" t="str">
        <x:v>An older man walking in, unlit cigarette still in his mouth.</x:v>
      </x:c>
      <x:c r="Q254" s="16" t="str">
        <x:v>HUMAN_CONSEQUENCE</x:v>
      </x:c>
      <x:c r="R254" s="16" t="str"/>
      <x:c r="S254" s="16" t="str">
        <x:v>승리 직후 생활비·농담·관계의 온도로 긴장을 착지</x:v>
      </x:c>
      <x:c r="T254" s="16" t="str">
        <x:v>후속 정보가 생기면 행동·배경의 의미를 재검토</x:v>
      </x:c>
      <x:c r="U254" s="16" t="str">
        <x:v>생활비 / 농담 / 손실</x:v>
      </x:c>
      <x:c r="V254" s="16" t="str">
        <x:v>전투 후 대화·생활비 정산</x:v>
      </x:c>
      <x:c r="W254" s="16"/>
      <x:c r="X254" s="22" t="str">
        <x:v>NONE</x:v>
      </x:c>
      <x:c r="Y254" s="16" t="str">
        <x:v>GLOBAL-VIS-01</x:v>
      </x:c>
      <x:c r="Z254" s="22" t="str">
        <x:v>EDITORIAL_SPLIT</x:v>
      </x:c>
      <x:c r="AA254" s="22"/>
      <x:c r="AB254" s="16"/>
      <x:c r="AC254" s="16" t="str">
        <x:v>EP01_대본_전량_001-282(2).md</x:v>
      </x:c>
      <x:c r="AD254" s="22" t="n">
        <x:v>2949</x:v>
      </x:c>
      <x:c r="AE254" s="139" t="str">
        <x:v>NOT_APPLICABLE</x:v>
      </x:c>
      <x:c r="AF254" s="139" t="str">
        <x:v>NONE</x:v>
      </x:c>
    </x:row>
    <x:row r="255" ht="72" customHeight="1">
      <x:c r="A255" s="24" t="str">
        <x:v>254</x:v>
      </x:c>
      <x:c r="B255" s="26" t="str">
        <x:v>B254-254</x:v>
      </x:c>
      <x:c r="C255" s="22" t="n">
        <x:v>1</x:v>
      </x:c>
      <x:c r="D255" s="22" t="str">
        <x:v>1/1</x:v>
      </x:c>
      <x:c r="E255" s="26" t="str">
        <x:v>EP01-S15</x:v>
      </x:c>
      <x:c r="F255" s="20" t="str">
        <x:v>14절 손실</x:v>
      </x:c>
      <x:c r="G255" s="20" t="str">
        <x:v>MS</x:v>
      </x:c>
      <x:c r="H255" s="22" t="str"/>
      <x:c r="I255" s="24" t="str">
        <x:v>07-2-2</x:v>
      </x:c>
      <x:c r="J255" s="20" t="str">
        <x:v>관측창</x:v>
      </x:c>
      <x:c r="K255" s="16" t="str">
        <x:v>짚단 잔해를 내려다본다</x:v>
      </x:c>
      <x:c r="L255" s="16" t="str">
        <x:v>짚단 잔해를 내려다본다</x:v>
      </x:c>
      <x:c r="M255" s="16" t="str"/>
      <x:c r="N255" s="16" t="str"/>
      <x:c r="O255" s="16" t="str">
        <x:v>430px · 여백 중</x:v>
      </x:c>
      <x:c r="P255" s="16" t="str">
        <x:v>An older man looking down at the debris.</x:v>
      </x:c>
      <x:c r="Q255" s="16" t="str">
        <x:v>HUMAN_CONSEQUENCE</x:v>
      </x:c>
      <x:c r="R255" s="16" t="str"/>
      <x:c r="S255" s="16" t="str">
        <x:v>승리 직후 생활비·농담·관계의 온도로 긴장을 착지</x:v>
      </x:c>
      <x:c r="T255" s="16" t="str">
        <x:v>후속 정보가 생기면 행동·배경의 의미를 재검토</x:v>
      </x:c>
      <x:c r="U255" s="16" t="str">
        <x:v>생활비 / 농담 / 손실</x:v>
      </x:c>
      <x:c r="V255" s="16" t="str">
        <x:v>전투 후 대화·생활비 정산</x:v>
      </x:c>
      <x:c r="W255" s="16"/>
      <x:c r="X255" s="22" t="str">
        <x:v>NONE</x:v>
      </x:c>
      <x:c r="Y255" s="16" t="str">
        <x:v>GLOBAL-VIS-01</x:v>
      </x:c>
      <x:c r="Z255" s="22" t="str">
        <x:v>SOURCE</x:v>
      </x:c>
      <x:c r="AA255" s="22"/>
      <x:c r="AB255" s="16"/>
      <x:c r="AC255" s="16" t="str">
        <x:v>EP01_대본_전량_001-282(2).md</x:v>
      </x:c>
      <x:c r="AD255" s="22" t="n">
        <x:v>2962</x:v>
      </x:c>
      <x:c r="AE255" s="139" t="str">
        <x:v>NOT_APPLICABLE</x:v>
      </x:c>
      <x:c r="AF255" s="139" t="str">
        <x:v>NONE</x:v>
      </x:c>
    </x:row>
    <x:row r="256" ht="72" customHeight="1">
      <x:c r="A256" s="24" t="str">
        <x:v>255</x:v>
      </x:c>
      <x:c r="B256" s="26" t="str">
        <x:v>B255-255</x:v>
      </x:c>
      <x:c r="C256" s="22" t="n">
        <x:v>1</x:v>
      </x:c>
      <x:c r="D256" s="22" t="str">
        <x:v>1/1</x:v>
      </x:c>
      <x:c r="E256" s="26" t="str">
        <x:v>EP01-S15</x:v>
      </x:c>
      <x:c r="F256" s="20" t="str">
        <x:v>14절 손실</x:v>
      </x:c>
      <x:c r="G256" s="20" t="str">
        <x:v>CU</x:v>
      </x:c>
      <x:c r="H256" s="22" t="str">
        <x:v>⭐🤫</x:v>
      </x:c>
      <x:c r="I256" s="24" t="str">
        <x:v>07-2-2</x:v>
      </x:c>
      <x:c r="J256" s="20" t="str">
        <x:v>관측창</x:v>
      </x:c>
      <x:c r="K256" s="16" t="str">
        <x:v>표정이 서서히 바뀐다</x:v>
      </x:c>
      <x:c r="L256" s="16" t="str">
        <x:v>표정이 서서히 바뀐다</x:v>
      </x:c>
      <x:c r="M256" s="16" t="str"/>
      <x:c r="N256" s="16" t="str"/>
      <x:c r="O256" s="16" t="str">
        <x:v>430px · 여백 넓</x:v>
      </x:c>
      <x:c r="P256" s="16" t="str">
        <x:v>An older man's expression slowly changing. Do not name the emotion.</x:v>
      </x:c>
      <x:c r="Q256" s="16" t="str">
        <x:v>HUMAN_CONSEQUENCE</x:v>
      </x:c>
      <x:c r="R256" s="16" t="str">
        <x:v>SIGNATURE / SILENT_ACTING</x:v>
      </x:c>
      <x:c r="S256" s="16" t="str">
        <x:v>승리 직후 생활비·농담·관계의 온도로 긴장을 착지</x:v>
      </x:c>
      <x:c r="T256" s="16" t="str">
        <x:v>침묵한 반응의 이유를 후발 정보로 다시 읽음 / 시그니처 상징의 기원</x:v>
      </x:c>
      <x:c r="U256" s="16" t="str">
        <x:v>생활비 / 농담 / 손실</x:v>
      </x:c>
      <x:c r="V256" s="16" t="str">
        <x:v>전투 후 대화·생활비 정산</x:v>
      </x:c>
      <x:c r="W256" s="16"/>
      <x:c r="X256" s="22" t="str">
        <x:v>NONE</x:v>
      </x:c>
      <x:c r="Y256" s="16" t="str">
        <x:v>대사 금지 또는 응답 없는 침묵 유지 / GLOBAL-VIS-01</x:v>
      </x:c>
      <x:c r="Z256" s="22" t="str">
        <x:v>SOURCE</x:v>
      </x:c>
      <x:c r="AA256" s="22"/>
      <x:c r="AB256" s="16"/>
      <x:c r="AC256" s="16" t="str">
        <x:v>EP01_대본_전량_001-282(2).md</x:v>
      </x:c>
      <x:c r="AD256" s="22" t="n">
        <x:v>2974</x:v>
      </x:c>
      <x:c r="AE256" s="139" t="str">
        <x:v>NOT_APPLICABLE</x:v>
      </x:c>
      <x:c r="AF256" s="139" t="str">
        <x:v>NONE</x:v>
      </x:c>
    </x:row>
    <x:row r="257" ht="72" customHeight="1">
      <x:c r="A257" s="24" t="str">
        <x:v>256</x:v>
      </x:c>
      <x:c r="B257" s="26" t="str">
        <x:v>B256-256</x:v>
      </x:c>
      <x:c r="C257" s="22" t="n">
        <x:v>1</x:v>
      </x:c>
      <x:c r="D257" s="22" t="str">
        <x:v>1/1</x:v>
      </x:c>
      <x:c r="E257" s="26" t="str">
        <x:v>EP01-S15</x:v>
      </x:c>
      <x:c r="F257" s="20" t="str">
        <x:v>14절 손실</x:v>
      </x:c>
      <x:c r="G257" s="20" t="str">
        <x:v>MS 마태오</x:v>
      </x:c>
      <x:c r="H257" s="22" t="str"/>
      <x:c r="I257" s="24" t="str">
        <x:v>06-1-3</x:v>
      </x:c>
      <x:c r="J257" s="20" t="str">
        <x:v>사무소 근접판</x:v>
      </x:c>
      <x:c r="K257" s="16" t="str">
        <x:v>돌아서며</x:v>
      </x:c>
      <x:c r="L257" s="16" t="str">
        <x:v>돌아서며</x:v>
      </x:c>
      <x:c r="M257" s="16" t="str">
        <x:v>대사 · 마태오: 「…그건 그렇고. 저 훈련용 허수아비, 30만 원짜리다. 첫 의뢰비에서 깐다.」</x:v>
      </x:c>
      <x:c r="N257" s="16" t="str"/>
      <x:c r="O257" s="16" t="str">
        <x:v>430px · 여백 중</x:v>
      </x:c>
      <x:c r="P257" s="16" t="str">
        <x:v>An older man turning away as he speaks.</x:v>
      </x:c>
      <x:c r="Q257" s="16" t="str">
        <x:v>HUMAN_CONSEQUENCE</x:v>
      </x:c>
      <x:c r="R257" s="16" t="str"/>
      <x:c r="S257" s="16" t="str">
        <x:v>승리 직후 생활비·농담·관계의 온도로 긴장을 착지</x:v>
      </x:c>
      <x:c r="T257" s="16" t="str">
        <x:v>후속 정보가 생기면 행동·배경의 의미를 재검토</x:v>
      </x:c>
      <x:c r="U257" s="16" t="str">
        <x:v>생활비 / 농담 / 손실</x:v>
      </x:c>
      <x:c r="V257" s="16" t="str">
        <x:v>전투 후 대화·생활비 정산</x:v>
      </x:c>
      <x:c r="W257" s="16"/>
      <x:c r="X257" s="22" t="str">
        <x:v>NONE</x:v>
      </x:c>
      <x:c r="Y257" s="16" t="str">
        <x:v>GLOBAL-VIS-01</x:v>
      </x:c>
      <x:c r="Z257" s="22" t="str">
        <x:v>SOURCE</x:v>
      </x:c>
      <x:c r="AA257" s="22"/>
      <x:c r="AB257" s="16"/>
      <x:c r="AC257" s="16" t="str">
        <x:v>EP01_대본_전량_001-282(2).md</x:v>
      </x:c>
      <x:c r="AD257" s="22" t="n">
        <x:v>2986</x:v>
      </x:c>
      <x:c r="AE257" s="139" t="str">
        <x:v>NOT_APPLICABLE</x:v>
      </x:c>
      <x:c r="AF257" s="139" t="str">
        <x:v>NONE</x:v>
      </x:c>
    </x:row>
    <x:row r="258" ht="72" customHeight="1">
      <x:c r="A258" s="24" t="str">
        <x:v>257</x:v>
      </x:c>
      <x:c r="B258" s="26" t="str">
        <x:v>B257-257</x:v>
      </x:c>
      <x:c r="C258" s="22" t="n">
        <x:v>1</x:v>
      </x:c>
      <x:c r="D258" s="22" t="str">
        <x:v>1/1</x:v>
      </x:c>
      <x:c r="E258" s="26" t="str">
        <x:v>EP01-S15</x:v>
      </x:c>
      <x:c r="F258" s="20" t="str">
        <x:v>14절 손실</x:v>
      </x:c>
      <x:c r="G258" s="20" t="str">
        <x:v>WIDE</x:v>
      </x:c>
      <x:c r="H258" s="22" t="str"/>
      <x:c r="I258" s="24" t="str">
        <x:v>07-2-2</x:v>
      </x:c>
      <x:c r="J258" s="20" t="str">
        <x:v>관측창</x:v>
      </x:c>
      <x:c r="K258" s="16" t="str">
        <x:v>그 말만 하고 나간다</x:v>
      </x:c>
      <x:c r="L258" s="16" t="str">
        <x:v>그 말만 하고 나간다</x:v>
      </x:c>
      <x:c r="M258" s="16" t="str"/>
      <x:c r="N258" s="16" t="str"/>
      <x:c r="O258" s="16" t="str">
        <x:v>470px · 여백 넓</x:v>
      </x:c>
      <x:c r="P258" s="16" t="str">
        <x:v>An older man leaving. Only his back.</x:v>
      </x:c>
      <x:c r="Q258" s="16" t="str">
        <x:v>HUMAN_CONSEQUENCE</x:v>
      </x:c>
      <x:c r="R258" s="16" t="str"/>
      <x:c r="S258" s="16" t="str">
        <x:v>승리 직후 생활비·농담·관계의 온도로 긴장을 착지</x:v>
      </x:c>
      <x:c r="T258" s="16" t="str">
        <x:v>후속 정보가 생기면 행동·배경의 의미를 재검토</x:v>
      </x:c>
      <x:c r="U258" s="16" t="str">
        <x:v>생활비 / 농담 / 손실</x:v>
      </x:c>
      <x:c r="V258" s="16" t="str">
        <x:v>전투 후 대화·생활비 정산</x:v>
      </x:c>
      <x:c r="W258" s="16"/>
      <x:c r="X258" s="22" t="str">
        <x:v>NONE</x:v>
      </x:c>
      <x:c r="Y258" s="16" t="str">
        <x:v>GLOBAL-VIS-01</x:v>
      </x:c>
      <x:c r="Z258" s="22" t="str">
        <x:v>SOURCE</x:v>
      </x:c>
      <x:c r="AA258" s="22"/>
      <x:c r="AB258" s="16"/>
      <x:c r="AC258" s="16" t="str">
        <x:v>EP01_대본_전량_001-282(2).md</x:v>
      </x:c>
      <x:c r="AD258" s="22" t="n">
        <x:v>2999</x:v>
      </x:c>
      <x:c r="AE258" s="139" t="str">
        <x:v>NOT_APPLICABLE</x:v>
      </x:c>
      <x:c r="AF258" s="139" t="str">
        <x:v>NONE</x:v>
      </x:c>
    </x:row>
    <x:row r="259" ht="72" customHeight="1">
      <x:c r="A259" s="24" t="str">
        <x:v>258</x:v>
      </x:c>
      <x:c r="B259" s="26" t="str">
        <x:v>B258-258</x:v>
      </x:c>
      <x:c r="C259" s="22" t="n">
        <x:v>1</x:v>
      </x:c>
      <x:c r="D259" s="22" t="str">
        <x:v>1/1</x:v>
      </x:c>
      <x:c r="E259" s="26" t="str">
        <x:v>EP01-S15</x:v>
      </x:c>
      <x:c r="F259" s="20" t="str">
        <x:v>14절 손실</x:v>
      </x:c>
      <x:c r="G259" s="20" t="str">
        <x:v>CU 카인</x:v>
      </x:c>
      <x:c r="H259" s="22" t="str">
        <x:v>🎭</x:v>
      </x:c>
      <x:c r="I259" s="24" t="str">
        <x:v>06-1-3</x:v>
      </x:c>
      <x:c r="J259" s="20" t="str">
        <x:v>사무소 근접판</x:v>
      </x:c>
      <x:c r="K259" s="16" t="str">
        <x:v>입을 반쯤 벌린 채 그 등을 본다</x:v>
      </x:c>
      <x:c r="L259" s="16" t="str">
        <x:v>입을 반쯤 벌린 채 그 등을 본다</x:v>
      </x:c>
      <x:c r="M259" s="16" t="str">
        <x:v>대사 · 카인: 「…아니, 저게 갑자기 괴물이 된 게.」</x:v>
      </x:c>
      <x:c r="N259" s="16" t="str"/>
      <x:c r="O259" s="16" t="str">
        <x:v>400px · 여백 좁</x:v>
      </x:c>
      <x:c r="P259" s="16" t="str">
        <x:v>A large man watching a retreating back, mouth half open.</x:v>
      </x:c>
      <x:c r="Q259" s="16" t="str">
        <x:v>HUMAN_CONSEQUENCE</x:v>
      </x:c>
      <x:c r="R259" s="16" t="str">
        <x:v>HUMAN_BEAT</x:v>
      </x:c>
      <x:c r="S259" s="16" t="str">
        <x:v>승리 직후 생활비·농담·관계의 온도로 긴장을 착지</x:v>
      </x:c>
      <x:c r="T259" s="16" t="str">
        <x:v>후속 정보가 생기면 행동·배경의 의미를 재검토</x:v>
      </x:c>
      <x:c r="U259" s="16" t="str">
        <x:v>생활비 / 농담 / 손실</x:v>
      </x:c>
      <x:c r="V259" s="16" t="str">
        <x:v>전투 후 대화·생활비 정산</x:v>
      </x:c>
      <x:c r="W259" s="16"/>
      <x:c r="X259" s="22" t="str">
        <x:v>NONE</x:v>
      </x:c>
      <x:c r="Y259" s="16" t="str">
        <x:v>GLOBAL-VIS-01</x:v>
      </x:c>
      <x:c r="Z259" s="22" t="str">
        <x:v>SOURCE</x:v>
      </x:c>
      <x:c r="AA259" s="22"/>
      <x:c r="AB259" s="16"/>
      <x:c r="AC259" s="16" t="str">
        <x:v>EP01_대본_전량_001-282(2).md</x:v>
      </x:c>
      <x:c r="AD259" s="22" t="n">
        <x:v>3011</x:v>
      </x:c>
      <x:c r="AE259" s="139" t="str">
        <x:v>NOT_APPLICABLE</x:v>
      </x:c>
      <x:c r="AF259" s="139" t="str">
        <x:v>NONE</x:v>
      </x:c>
    </x:row>
    <x:row r="260" ht="72" customHeight="1">
      <x:c r="A260" s="24" t="str">
        <x:v>259</x:v>
      </x:c>
      <x:c r="B260" s="26" t="str">
        <x:v>B259-259</x:v>
      </x:c>
      <x:c r="C260" s="22" t="n">
        <x:v>1</x:v>
      </x:c>
      <x:c r="D260" s="22" t="str">
        <x:v>1/1</x:v>
      </x:c>
      <x:c r="E260" s="26" t="str">
        <x:v>EP01-S15</x:v>
      </x:c>
      <x:c r="F260" s="20" t="str">
        <x:v>14절 손실</x:v>
      </x:c>
      <x:c r="G260" s="20" t="str">
        <x:v>WIDE</x:v>
      </x:c>
      <x:c r="H260" s="22" t="str">
        <x:v>🤫🎭</x:v>
      </x:c>
      <x:c r="I260" s="24" t="str">
        <x:v>06-1-3</x:v>
      </x:c>
      <x:c r="J260" s="20" t="str">
        <x:v>사무소 근접판</x:v>
      </x:c>
      <x:c r="K260" s="16" t="str">
        <x:v>아무도 듣지 않는다. 카인 혼자, 빈 공간</x:v>
      </x:c>
      <x:c r="L260" s="16" t="str">
        <x:v>아무도 듣지 않는다. 카인 혼자, 빈 공간</x:v>
      </x:c>
      <x:c r="M260" s="16" t="str">
        <x:v>대사 · 카인: 「…내 탓입니까?」</x:v>
      </x:c>
      <x:c r="N260" s="16" t="str"/>
      <x:c r="O260" s="16" t="str">
        <x:v>470px · 여백 극</x:v>
      </x:c>
      <x:c r="P260" s="16" t="str">
        <x:v>A lone large man in a mostly empty frame. Nobody is listening.</x:v>
      </x:c>
      <x:c r="Q260" s="16" t="str">
        <x:v>HUMAN_CONSEQUENCE</x:v>
      </x:c>
      <x:c r="R260" s="16" t="str">
        <x:v>SILENT_ACTING / HUMAN_BEAT</x:v>
      </x:c>
      <x:c r="S260" s="16" t="str">
        <x:v>승리 직후 생활비·농담·관계의 온도로 긴장을 착지</x:v>
      </x:c>
      <x:c r="T260" s="16" t="str">
        <x:v>침묵한 반응의 이유를 후발 정보로 다시 읽음</x:v>
      </x:c>
      <x:c r="U260" s="16" t="str">
        <x:v>생활비 / 농담 / 손실</x:v>
      </x:c>
      <x:c r="V260" s="16" t="str">
        <x:v>전투 후 대화·생활비 정산</x:v>
      </x:c>
      <x:c r="W260" s="16"/>
      <x:c r="X260" s="22" t="str">
        <x:v>NONE</x:v>
      </x:c>
      <x:c r="Y260" s="16" t="str">
        <x:v>대사 금지 또는 응답 없는 침묵 유지 / GLOBAL-VIS-01</x:v>
      </x:c>
      <x:c r="Z260" s="22" t="str">
        <x:v>SOURCE</x:v>
      </x:c>
      <x:c r="AA260" s="22"/>
      <x:c r="AB260" s="16"/>
      <x:c r="AC260" s="16" t="str">
        <x:v>EP01_대본_전량_001-282(2).md</x:v>
      </x:c>
      <x:c r="AD260" s="22" t="n">
        <x:v>3024</x:v>
      </x:c>
      <x:c r="AE260" s="139" t="str">
        <x:v>NOT_APPLICABLE</x:v>
      </x:c>
      <x:c r="AF260" s="139" t="str">
        <x:v>NONE</x:v>
      </x:c>
    </x:row>
    <x:row r="261" ht="72" customHeight="1">
      <x:c r="A261" s="24" t="str">
        <x:v>260</x:v>
      </x:c>
      <x:c r="B261" s="26" t="str">
        <x:v>B260-260</x:v>
      </x:c>
      <x:c r="C261" s="22" t="n">
        <x:v>1</x:v>
      </x:c>
      <x:c r="D261" s="22" t="str">
        <x:v>1/1</x:v>
      </x:c>
      <x:c r="E261" s="26" t="str">
        <x:v>EP01-S15</x:v>
      </x:c>
      <x:c r="F261" s="20" t="str">
        <x:v>14절 손실</x:v>
      </x:c>
      <x:c r="G261" s="20" t="str">
        <x:v>WIDE</x:v>
      </x:c>
      <x:c r="H261" s="22" t="str">
        <x:v>🤫🎭</x:v>
      </x:c>
      <x:c r="I261" s="24" t="str">
        <x:v>06-1-3</x:v>
      </x:c>
      <x:c r="J261" s="20" t="str">
        <x:v>사무소 근접판</x:v>
      </x:c>
      <x:c r="K261" s="16" t="str">
        <x:v>여전히 아무도 대답하지 않는다</x:v>
      </x:c>
      <x:c r="L261" s="16" t="str">
        <x:v>여전히 아무도 대답하지 않는다</x:v>
      </x:c>
      <x:c r="M261" s="16" t="str">
        <x:v>대사 · 카인: 「치라고 해서 친 건데.」</x:v>
      </x:c>
      <x:c r="N261" s="16" t="str"/>
      <x:c r="O261" s="16" t="str">
        <x:v>470px · 여백 극</x:v>
      </x:c>
      <x:c r="P261" s="16" t="str">
        <x:v>The same lone figure. Still no answer.</x:v>
      </x:c>
      <x:c r="Q261" s="16" t="str">
        <x:v>HUMAN_CONSEQUENCE</x:v>
      </x:c>
      <x:c r="R261" s="16" t="str">
        <x:v>SILENT_ACTING / HUMAN_BEAT</x:v>
      </x:c>
      <x:c r="S261" s="16" t="str">
        <x:v>승리 직후 생활비·농담·관계의 온도로 긴장을 착지</x:v>
      </x:c>
      <x:c r="T261" s="16" t="str">
        <x:v>침묵한 반응의 이유를 후발 정보로 다시 읽음</x:v>
      </x:c>
      <x:c r="U261" s="16" t="str">
        <x:v>생활비 / 농담 / 손실</x:v>
      </x:c>
      <x:c r="V261" s="16" t="str">
        <x:v>전투 후 대화·생활비 정산</x:v>
      </x:c>
      <x:c r="W261" s="16"/>
      <x:c r="X261" s="22" t="str">
        <x:v>NONE</x:v>
      </x:c>
      <x:c r="Y261" s="16" t="str">
        <x:v>대사 금지 또는 응답 없는 침묵 유지 / GLOBAL-VIS-01</x:v>
      </x:c>
      <x:c r="Z261" s="22" t="str">
        <x:v>SOURCE</x:v>
      </x:c>
      <x:c r="AA261" s="22"/>
      <x:c r="AB261" s="16"/>
      <x:c r="AC261" s="16" t="str">
        <x:v>EP01_대본_전량_001-282(2).md</x:v>
      </x:c>
      <x:c r="AD261" s="22" t="n">
        <x:v>3037</x:v>
      </x:c>
      <x:c r="AE261" s="139" t="str">
        <x:v>NOT_APPLICABLE</x:v>
      </x:c>
      <x:c r="AF261" s="139" t="str">
        <x:v>NONE</x:v>
      </x:c>
    </x:row>
    <x:row r="262" ht="72" customHeight="1">
      <x:c r="A262" s="24" t="str">
        <x:v>261</x:v>
      </x:c>
      <x:c r="B262" s="26" t="str">
        <x:v>B261-261</x:v>
      </x:c>
      <x:c r="C262" s="22" t="n">
        <x:v>1</x:v>
      </x:c>
      <x:c r="D262" s="22" t="str">
        <x:v>1/1</x:v>
      </x:c>
      <x:c r="E262" s="26" t="str">
        <x:v>EP01-S15</x:v>
      </x:c>
      <x:c r="F262" s="20" t="str">
        <x:v>14절 손실</x:v>
      </x:c>
      <x:c r="G262" s="20" t="str">
        <x:v>MS</x:v>
      </x:c>
      <x:c r="H262" s="22" t="str"/>
      <x:c r="I262" s="24" t="str">
        <x:v>06-1</x:v>
      </x:c>
      <x:c r="J262" s="20" t="str">
        <x:v>사무소</x:v>
      </x:c>
      <x:c r="K262" s="16" t="str">
        <x:v>사무소. 마태오가 책상 앞에 앉는다</x:v>
      </x:c>
      <x:c r="L262" s="16" t="str">
        <x:v>사무소. 마태오가 책상 앞에 앉는다</x:v>
      </x:c>
      <x:c r="M262" s="16" t="str"/>
      <x:c r="N262" s="16" t="str"/>
      <x:c r="O262" s="16" t="str">
        <x:v>430px · 여백 좁</x:v>
      </x:c>
      <x:c r="P262" s="16" t="str">
        <x:v>An older man sitting down at an office desk.</x:v>
      </x:c>
      <x:c r="Q262" s="16" t="str">
        <x:v>LOSS_LEDGER</x:v>
      </x:c>
      <x:c r="R262" s="16" t="str"/>
      <x:c r="S262" s="16" t="str">
        <x:v>비용을 청구하지 않고 손실로 떠안는 마태오의 방식을 보여줌</x:v>
      </x:c>
      <x:c r="T262" s="16" t="str">
        <x:v>EP19·EP28의 장부와 연결되어 ‘손실’이 저항의 기록으로 확장</x:v>
      </x:c>
      <x:c r="U262" s="16" t="str">
        <x:v>선택 / 대가 / 침묵</x:v>
      </x:c>
      <x:c r="V262" s="16" t="str">
        <x:v>비공개 손실 처리·허브 경제 상태 변화</x:v>
      </x:c>
      <x:c r="W262" s="16" t="str">
        <x:v>PAYOFF: EP19·EP28: 손실 장부·이름 기록</x:v>
      </x:c>
      <x:c r="X262" s="22" t="str">
        <x:v>PAYOFF</x:v>
      </x:c>
      <x:c r="Y262" s="16" t="str">
        <x:v>GLOBAL-VIS-01</x:v>
      </x:c>
      <x:c r="Z262" s="22" t="str">
        <x:v>SOURCE</x:v>
      </x:c>
      <x:c r="AA262" s="22"/>
      <x:c r="AB262" s="16"/>
      <x:c r="AC262" s="16" t="str">
        <x:v>EP01_대본_전량_001-282(2).md</x:v>
      </x:c>
      <x:c r="AD262" s="22" t="n">
        <x:v>3050</x:v>
      </x:c>
      <x:c r="AE262" s="139" t="str">
        <x:v>PUBLIC_CANON</x:v>
      </x:c>
      <x:c r="AF262" s="139" t="str">
        <x:v>CONTRACT</x:v>
      </x:c>
    </x:row>
    <x:row r="263" ht="72" customHeight="1">
      <x:c r="A263" s="24" t="str">
        <x:v>262</x:v>
      </x:c>
      <x:c r="B263" s="26" t="str">
        <x:v>B262-262</x:v>
      </x:c>
      <x:c r="C263" s="22" t="n">
        <x:v>1</x:v>
      </x:c>
      <x:c r="D263" s="22" t="str">
        <x:v>1/1</x:v>
      </x:c>
      <x:c r="E263" s="26" t="str">
        <x:v>EP01-S15</x:v>
      </x:c>
      <x:c r="F263" s="20" t="str">
        <x:v>14절 손실</x:v>
      </x:c>
      <x:c r="G263" s="20" t="str">
        <x:v>인서트</x:v>
      </x:c>
      <x:c r="H263" s="22" t="str"/>
      <x:c r="I263" s="24" t="str">
        <x:v>06-1-1</x:v>
      </x:c>
      <x:c r="J263" s="20" t="str">
        <x:v>책상 부감</x:v>
      </x:c>
      <x:c r="K263" s="16" t="str">
        <x:v>낡은 서류철을 편다</x:v>
      </x:c>
      <x:c r="L263" s="16" t="str">
        <x:v>낡은 서류철을 편다</x:v>
      </x:c>
      <x:c r="M263" s="16" t="str"/>
      <x:c r="N263" s="16" t="str"/>
      <x:c r="O263" s="16" t="str">
        <x:v>400px · 여백 좁</x:v>
      </x:c>
      <x:c r="P263" s="16" t="str">
        <x:v>Top down. A worn ledger being opened.</x:v>
      </x:c>
      <x:c r="Q263" s="16" t="str">
        <x:v>LOSS_LEDGER</x:v>
      </x:c>
      <x:c r="R263" s="16" t="str"/>
      <x:c r="S263" s="16" t="str">
        <x:v>비용을 청구하지 않고 손실로 떠안는 마태오의 방식을 보여줌</x:v>
      </x:c>
      <x:c r="T263" s="16" t="str">
        <x:v>EP19·EP28의 장부와 연결되어 ‘손실’이 저항의 기록으로 확장</x:v>
      </x:c>
      <x:c r="U263" s="16" t="str">
        <x:v>기록 / 이름 / 손실</x:v>
      </x:c>
      <x:c r="V263" s="16" t="str">
        <x:v>비공개 손실 처리·허브 경제 상태 변화</x:v>
      </x:c>
      <x:c r="W263" s="16" t="str">
        <x:v>PAYOFF: EP19·EP28: 손실 장부·이름 기록</x:v>
      </x:c>
      <x:c r="X263" s="22" t="str">
        <x:v>PAYOFF</x:v>
      </x:c>
      <x:c r="Y263" s="16" t="str">
        <x:v>GLOBAL-VIS-01</x:v>
      </x:c>
      <x:c r="Z263" s="22" t="str">
        <x:v>SOURCE</x:v>
      </x:c>
      <x:c r="AA263" s="22"/>
      <x:c r="AB263" s="16"/>
      <x:c r="AC263" s="16" t="str">
        <x:v>EP01_대본_전량_001-282(2).md</x:v>
      </x:c>
      <x:c r="AD263" s="22" t="n">
        <x:v>3062</x:v>
      </x:c>
      <x:c r="AE263" s="139" t="str">
        <x:v>PUBLIC_CANON</x:v>
      </x:c>
      <x:c r="AF263" s="139" t="str">
        <x:v>CONTRACT</x:v>
      </x:c>
    </x:row>
    <x:row r="264" ht="72" customHeight="1">
      <x:c r="A264" s="24" t="str">
        <x:v>263</x:v>
      </x:c>
      <x:c r="B264" s="26" t="str">
        <x:v>B263-263</x:v>
      </x:c>
      <x:c r="C264" s="22" t="n">
        <x:v>1</x:v>
      </x:c>
      <x:c r="D264" s="22" t="str">
        <x:v>1/1</x:v>
      </x:c>
      <x:c r="E264" s="26" t="str">
        <x:v>EP01-S15</x:v>
      </x:c>
      <x:c r="F264" s="20" t="str">
        <x:v>14절 손실</x:v>
      </x:c>
      <x:c r="G264" s="20" t="str">
        <x:v>ECU</x:v>
      </x:c>
      <x:c r="H264" s="22" t="str">
        <x:v>🤫</x:v>
      </x:c>
      <x:c r="I264" s="24" t="str">
        <x:v>06-1-1</x:v>
      </x:c>
      <x:c r="J264" s="20" t="str">
        <x:v>책상 부감</x:v>
      </x:c>
      <x:c r="K264" s="16" t="str">
        <x:v>칸이 세로로 나뉘어 있다. 왼쪽 날짜, 가운데 항목, 오른쪽 금액</x:v>
      </x:c>
      <x:c r="L264" s="16" t="str">
        <x:v>칸이 세로로 나뉘어 있다. 왼쪽 날짜, 가운데 항목, 오른쪽 금액</x:v>
      </x:c>
      <x:c r="M264" s="16" t="str"/>
      <x:c r="N264" s="16" t="str"/>
      <x:c r="O264" s="16" t="str">
        <x:v>400px · 여백 중</x:v>
      </x:c>
      <x:c r="P264" s="16" t="str">
        <x:v>Extreme close on ruled ledger columns: date, item, amount.</x:v>
      </x:c>
      <x:c r="Q264" s="16" t="str">
        <x:v>LOSS_LEDGER</x:v>
      </x:c>
      <x:c r="R264" s="16" t="str">
        <x:v>SILENT_ACTING</x:v>
      </x:c>
      <x:c r="S264" s="16" t="str">
        <x:v>비용을 청구하지 않고 손실로 떠안는 마태오의 방식을 보여줌</x:v>
      </x:c>
      <x:c r="T264" s="16" t="str">
        <x:v>침묵한 반응의 이유를 후발 정보로 다시 읽음 / EP19·EP28의 장부와 연결되어 ‘손실’이 저항의 기록으로 확장</x:v>
      </x:c>
      <x:c r="U264" s="16" t="str">
        <x:v>선택 / 대가 / 침묵</x:v>
      </x:c>
      <x:c r="V264" s="16" t="str">
        <x:v>비공개 손실 처리·허브 경제 상태 변화</x:v>
      </x:c>
      <x:c r="W264" s="16" t="str">
        <x:v>PAYOFF: EP19·EP28: 손실 장부·이름 기록</x:v>
      </x:c>
      <x:c r="X264" s="22" t="str">
        <x:v>PAYOFF</x:v>
      </x:c>
      <x:c r="Y264" s="16" t="str">
        <x:v>대사 금지 또는 응답 없는 침묵 유지 / GLOBAL-VIS-01</x:v>
      </x:c>
      <x:c r="Z264" s="22" t="str">
        <x:v>SOURCE</x:v>
      </x:c>
      <x:c r="AA264" s="22"/>
      <x:c r="AB264" s="16"/>
      <x:c r="AC264" s="16" t="str">
        <x:v>EP01_대본_전량_001-282(2).md</x:v>
      </x:c>
      <x:c r="AD264" s="22" t="n">
        <x:v>3074</x:v>
      </x:c>
      <x:c r="AE264" s="139" t="str">
        <x:v>PUBLIC_CANON</x:v>
      </x:c>
      <x:c r="AF264" s="139" t="str">
        <x:v>CONTRACT</x:v>
      </x:c>
    </x:row>
    <x:row r="265" ht="72" customHeight="1">
      <x:c r="A265" s="24" t="str">
        <x:v>264</x:v>
      </x:c>
      <x:c r="B265" s="26" t="str">
        <x:v>B264-264</x:v>
      </x:c>
      <x:c r="C265" s="22" t="n">
        <x:v>1</x:v>
      </x:c>
      <x:c r="D265" s="22" t="str">
        <x:v>1/1</x:v>
      </x:c>
      <x:c r="E265" s="26" t="str">
        <x:v>EP01-S15</x:v>
      </x:c>
      <x:c r="F265" s="20" t="str">
        <x:v>14절 손실</x:v>
      </x:c>
      <x:c r="G265" s="20" t="str">
        <x:v>ECU</x:v>
      </x:c>
      <x:c r="H265" s="22" t="str"/>
      <x:c r="I265" s="24" t="str">
        <x:v>06-1-1</x:v>
      </x:c>
      <x:c r="J265" s="20" t="str">
        <x:v>책상 부감</x:v>
      </x:c>
      <x:c r="K265" s="16" t="str">
        <x:v>펜이 오늘 날짜를 적는다</x:v>
      </x:c>
      <x:c r="L265" s="16" t="str">
        <x:v>펜이 오늘 날짜를 적는다</x:v>
      </x:c>
      <x:c r="M265" s="16" t="str"/>
      <x:c r="N265" s="16" t="str"/>
      <x:c r="O265" s="16" t="str">
        <x:v>380px · 여백 좁</x:v>
      </x:c>
      <x:c r="P265" s="16" t="str">
        <x:v>A pen writing today's date.</x:v>
      </x:c>
      <x:c r="Q265" s="16" t="str">
        <x:v>LOSS_LEDGER</x:v>
      </x:c>
      <x:c r="R265" s="16" t="str"/>
      <x:c r="S265" s="16" t="str">
        <x:v>비용을 청구하지 않고 손실로 떠안는 마태오의 방식을 보여줌</x:v>
      </x:c>
      <x:c r="T265" s="16" t="str">
        <x:v>EP19·EP28의 장부와 연결되어 ‘손실’이 저항의 기록으로 확장</x:v>
      </x:c>
      <x:c r="U265" s="16" t="str">
        <x:v>선택 / 대가 / 침묵</x:v>
      </x:c>
      <x:c r="V265" s="16" t="str">
        <x:v>비공개 손실 처리·허브 경제 상태 변화</x:v>
      </x:c>
      <x:c r="W265" s="16" t="str">
        <x:v>PAYOFF: EP19·EP28: 손실 장부·이름 기록</x:v>
      </x:c>
      <x:c r="X265" s="22" t="str">
        <x:v>PAYOFF</x:v>
      </x:c>
      <x:c r="Y265" s="16" t="str">
        <x:v>GLOBAL-VIS-01</x:v>
      </x:c>
      <x:c r="Z265" s="22" t="str">
        <x:v>SOURCE</x:v>
      </x:c>
      <x:c r="AA265" s="22"/>
      <x:c r="AB265" s="16"/>
      <x:c r="AC265" s="16" t="str">
        <x:v>EP01_대본_전량_001-282(2).md</x:v>
      </x:c>
      <x:c r="AD265" s="22" t="n">
        <x:v>3086</x:v>
      </x:c>
      <x:c r="AE265" s="139" t="str">
        <x:v>PUBLIC_CANON</x:v>
      </x:c>
      <x:c r="AF265" s="139" t="str">
        <x:v>CONTRACT</x:v>
      </x:c>
    </x:row>
    <x:row r="266" ht="72" customHeight="1">
      <x:c r="A266" s="24" t="str">
        <x:v>265</x:v>
      </x:c>
      <x:c r="B266" s="26" t="str">
        <x:v>B265-265</x:v>
      </x:c>
      <x:c r="C266" s="22" t="n">
        <x:v>1</x:v>
      </x:c>
      <x:c r="D266" s="22" t="str">
        <x:v>1/1</x:v>
      </x:c>
      <x:c r="E266" s="26" t="str">
        <x:v>EP01-S15</x:v>
      </x:c>
      <x:c r="F266" s="20" t="str">
        <x:v>14절 손실</x:v>
      </x:c>
      <x:c r="G266" s="20" t="str">
        <x:v>ECU</x:v>
      </x:c>
      <x:c r="H266" s="22" t="str">
        <x:v>⭐🤫</x:v>
      </x:c>
      <x:c r="I266" s="24" t="str">
        <x:v>06-1-1</x:v>
      </x:c>
      <x:c r="J266" s="20" t="str">
        <x:v>책상 부감</x:v>
      </x:c>
      <x:c r="K266" s="16" t="str">
        <x:v>「훈련 기재 파손 — 300,000」</x:v>
      </x:c>
      <x:c r="L266" s="16" t="str">
        <x:v>「훈련 기재 파손 — 300,000」</x:v>
      </x:c>
      <x:c r="M266" s="16" t="str"/>
      <x:c r="N266" s="16" t="str"/>
      <x:c r="O266" s="16" t="str">
        <x:v>400px · 여백 중</x:v>
      </x:c>
      <x:c r="P266" s="16" t="str">
        <x:v>A ledger line reading a Korean item name and an amount.</x:v>
      </x:c>
      <x:c r="Q266" s="16" t="str">
        <x:v>LOSS_LEDGER</x:v>
      </x:c>
      <x:c r="R266" s="16" t="str">
        <x:v>SIGNATURE / SILENT_ACTING</x:v>
      </x:c>
      <x:c r="S266" s="16" t="str">
        <x:v>비용을 청구하지 않고 손실로 떠안는 마태오의 방식을 보여줌</x:v>
      </x:c>
      <x:c r="T266" s="16" t="str">
        <x:v>침묵한 반응의 이유를 후발 정보로 다시 읽음 / 시그니처 상징의 기원 / EP19·EP28의 장부와 연결되어 ‘손실’이 저항의 기록으로 확장</x:v>
      </x:c>
      <x:c r="U266" s="16" t="str">
        <x:v>손 / 놓침 / 책임</x:v>
      </x:c>
      <x:c r="V266" s="16" t="str">
        <x:v>비공개 손실 처리·허브 경제 상태 변화</x:v>
      </x:c>
      <x:c r="W266" s="16" t="str">
        <x:v>PAYOFF: EP19·EP28: 손실 장부·이름 기록</x:v>
      </x:c>
      <x:c r="X266" s="22" t="str">
        <x:v>PAYOFF</x:v>
      </x:c>
      <x:c r="Y266" s="16" t="str">
        <x:v>대사 금지 또는 응답 없는 침묵 유지 / GLOBAL-VIS-01</x:v>
      </x:c>
      <x:c r="Z266" s="22" t="str">
        <x:v>SOURCE</x:v>
      </x:c>
      <x:c r="AA266" s="22"/>
      <x:c r="AB266" s="16"/>
      <x:c r="AC266" s="16" t="str">
        <x:v>EP01_대본_전량_001-282(2).md</x:v>
      </x:c>
      <x:c r="AD266" s="22" t="n">
        <x:v>3098</x:v>
      </x:c>
      <x:c r="AE266" s="139" t="str">
        <x:v>PUBLIC_CANON</x:v>
      </x:c>
      <x:c r="AF266" s="139" t="str">
        <x:v>CONTRACT</x:v>
      </x:c>
    </x:row>
    <x:row r="267" ht="72" customHeight="1">
      <x:c r="A267" s="24" t="str">
        <x:v>266</x:v>
      </x:c>
      <x:c r="B267" s="26" t="str">
        <x:v>B266-266</x:v>
      </x:c>
      <x:c r="C267" s="22" t="n">
        <x:v>1</x:v>
      </x:c>
      <x:c r="D267" s="22" t="str">
        <x:v>1/1</x:v>
      </x:c>
      <x:c r="E267" s="26" t="str">
        <x:v>EP01-S15</x:v>
      </x:c>
      <x:c r="F267" s="20" t="str">
        <x:v>14절 손실</x:v>
      </x:c>
      <x:c r="G267" s="20" t="str">
        <x:v>ECU</x:v>
      </x:c>
      <x:c r="H267" s="22" t="str">
        <x:v>⭐🤫🔴</x:v>
      </x:c>
      <x:c r="I267" s="24" t="str">
        <x:v>06-1-1</x:v>
      </x:c>
      <x:c r="J267" s="20" t="str">
        <x:v>책상 부감</x:v>
      </x:c>
      <x:c r="K267" s="16" t="str">
        <x:v>그 금액을 적은 칸의 이름 — 「손실」. 받을 사람 칸은 비어 있다</x:v>
      </x:c>
      <x:c r="L267" s="16" t="str">
        <x:v>그 금액을 적은 칸의 이름 — 「손실」. 받을 사람 칸은 비어 있다</x:v>
      </x:c>
      <x:c r="M267" s="16" t="str"/>
      <x:c r="N267" s="16" t="str"/>
      <x:c r="O267" s="16" t="str">
        <x:v>430px · 여백 극</x:v>
      </x:c>
      <x:c r="P267" s="16" t="str">
        <x:v>Extreme close. The column header reads LOSS. The recipient column beside it is completely blank. Make the blank clearly visible.</x:v>
      </x:c>
      <x:c r="Q267" s="16" t="str">
        <x:v>LOSS_LEDGER</x:v>
      </x:c>
      <x:c r="R267" s="16" t="str">
        <x:v>SIGNATURE / SILENT_ACTING / NONNEGOTIABLE</x:v>
      </x:c>
      <x:c r="S267" s="16" t="str">
        <x:v>비용을 청구하지 않고 손실로 떠안는 마태오의 방식을 보여줌</x:v>
      </x:c>
      <x:c r="T267" s="16" t="str">
        <x:v>침묵한 반응의 이유를 후발 정보로 다시 읽음 / 시그니처 상징의 기원 / EP19·EP28의 장부와 연결되어 ‘손실’이 저항의 기록으로 확장</x:v>
      </x:c>
      <x:c r="U267" s="16" t="str">
        <x:v>손 / 놓침 / 책임</x:v>
      </x:c>
      <x:c r="V267" s="16" t="str">
        <x:v>비공개 손실 처리·허브 경제 상태 변화</x:v>
      </x:c>
      <x:c r="W267" s="16" t="str">
        <x:v>PAYOFF: EP19·EP28: 손실 장부·이름 기록</x:v>
      </x:c>
      <x:c r="X267" s="22" t="str">
        <x:v>PAYOFF</x:v>
      </x:c>
      <x:c r="Y267" s="16" t="str">
        <x:v>대사 금지 또는 응답 없는 침묵 유지 / 필수 정보·좌우·거리 판독성 우선 / GLOBAL-VIS-01</x:v>
      </x:c>
      <x:c r="Z267" s="22" t="str">
        <x:v>SOURCE</x:v>
      </x:c>
      <x:c r="AA267" s="22"/>
      <x:c r="AB267" s="16"/>
      <x:c r="AC267" s="16" t="str">
        <x:v>EP01_대본_전량_001-282(2).md</x:v>
      </x:c>
      <x:c r="AD267" s="22" t="n">
        <x:v>3110</x:v>
      </x:c>
      <x:c r="AE267" s="139" t="str">
        <x:v>PUBLIC_CANON</x:v>
      </x:c>
      <x:c r="AF267" s="139" t="str">
        <x:v>CONTRACT</x:v>
      </x:c>
    </x:row>
    <x:row r="268" ht="72" customHeight="1">
      <x:c r="A268" s="24" t="str">
        <x:v>267</x:v>
      </x:c>
      <x:c r="B268" s="26" t="str">
        <x:v>B267-267</x:v>
      </x:c>
      <x:c r="C268" s="22" t="n">
        <x:v>1</x:v>
      </x:c>
      <x:c r="D268" s="22" t="str">
        <x:v>1/1</x:v>
      </x:c>
      <x:c r="E268" s="26" t="str">
        <x:v>EP01-S15</x:v>
      </x:c>
      <x:c r="F268" s="20" t="str">
        <x:v>14절 손실</x:v>
      </x:c>
      <x:c r="G268" s="20" t="str">
        <x:v>MS</x:v>
      </x:c>
      <x:c r="H268" s="22" t="str">
        <x:v>🤫</x:v>
      </x:c>
      <x:c r="I268" s="24" t="str">
        <x:v>06-1-1</x:v>
      </x:c>
      <x:c r="J268" s="20" t="str">
        <x:v>책상 부감</x:v>
      </x:c>
      <x:c r="K268" s="16" t="str">
        <x:v>잠깐 내려다보다가 서류철을 덮고 서랍에 넣는다</x:v>
      </x:c>
      <x:c r="L268" s="16" t="str">
        <x:v>잠깐 내려다보다가 서류철을 덮고 서랍에 넣는다</x:v>
      </x:c>
      <x:c r="M268" s="16" t="str"/>
      <x:c r="N268" s="16" t="str">
        <x:v>탁</x:v>
      </x:c>
      <x:c r="O268" s="16" t="str">
        <x:v>400px · 여백 중</x:v>
      </x:c>
      <x:c r="P268" s="16" t="str">
        <x:v>An older man closing a ledger and putting it in a drawer.</x:v>
      </x:c>
      <x:c r="Q268" s="16" t="str">
        <x:v>LOSS_LEDGER</x:v>
      </x:c>
      <x:c r="R268" s="16" t="str">
        <x:v>SILENT_ACTING</x:v>
      </x:c>
      <x:c r="S268" s="16" t="str">
        <x:v>비용을 청구하지 않고 손실로 떠안는 마태오의 방식을 보여줌</x:v>
      </x:c>
      <x:c r="T268" s="16" t="str">
        <x:v>침묵한 반응의 이유를 후발 정보로 다시 읽음 / EP19·EP28의 장부와 연결되어 ‘손실’이 저항의 기록으로 확장</x:v>
      </x:c>
      <x:c r="U268" s="16" t="str">
        <x:v>기록 / 이름 / 손실</x:v>
      </x:c>
      <x:c r="V268" s="16" t="str">
        <x:v>비공개 손실 처리·허브 경제 상태 변화</x:v>
      </x:c>
      <x:c r="W268" s="16" t="str">
        <x:v>PAYOFF: EP19·EP28: 손실 장부·이름 기록</x:v>
      </x:c>
      <x:c r="X268" s="22" t="str">
        <x:v>PAYOFF</x:v>
      </x:c>
      <x:c r="Y268" s="16" t="str">
        <x:v>대사 금지 또는 응답 없는 침묵 유지 / GLOBAL-VIS-01</x:v>
      </x:c>
      <x:c r="Z268" s="22" t="str">
        <x:v>SOURCE</x:v>
      </x:c>
      <x:c r="AA268" s="22"/>
      <x:c r="AB268" s="16"/>
      <x:c r="AC268" s="16" t="str">
        <x:v>EP01_대본_전량_001-282(2).md</x:v>
      </x:c>
      <x:c r="AD268" s="22" t="n">
        <x:v>3122</x:v>
      </x:c>
      <x:c r="AE268" s="139" t="str">
        <x:v>PUBLIC_CANON</x:v>
      </x:c>
      <x:c r="AF268" s="139" t="str">
        <x:v>CONTRACT</x:v>
      </x:c>
    </x:row>
    <x:row r="269" ht="72" customHeight="1">
      <x:c r="A269" s="24" t="str">
        <x:v>268</x:v>
      </x:c>
      <x:c r="B269" s="26" t="str">
        <x:v>B268-268</x:v>
      </x:c>
      <x:c r="C269" s="22" t="n">
        <x:v>1</x:v>
      </x:c>
      <x:c r="D269" s="22" t="str">
        <x:v>1/1</x:v>
      </x:c>
      <x:c r="E269" s="26" t="str">
        <x:v>EP01-S15</x:v>
      </x:c>
      <x:c r="F269" s="20" t="str">
        <x:v>14절 손실</x:v>
      </x:c>
      <x:c r="G269" s="20" t="str">
        <x:v>부감</x:v>
      </x:c>
      <x:c r="H269" s="22" t="str">
        <x:v>🤫🔒🎭</x:v>
      </x:c>
      <x:c r="I269" s="24" t="str">
        <x:v>06-1-2</x:v>
      </x:c>
      <x:c r="J269" s="20" t="str">
        <x:v>사무소 서랍</x:v>
      </x:c>
      <x:c r="K269" s="16" t="str">
        <x:v>서랍 안. 같은 서류철이 여러 권. 2년치다</x:v>
      </x:c>
      <x:c r="L269" s="16" t="str">
        <x:v>서랍 안. 같은 서류철이 여러 권. 2년치다</x:v>
      </x:c>
      <x:c r="M269" s="16" t="str"/>
      <x:c r="N269" s="16" t="str"/>
      <x:c r="O269" s="16" t="str">
        <x:v>470px · 여백 극</x:v>
      </x:c>
      <x:c r="P269" s="16" t="str">
        <x:v>Top down into an open drawer. Many identical worn ledgers. IDENTICAL FRAMING TO CUT 120.</x:v>
      </x:c>
      <x:c r="Q269" s="16" t="str">
        <x:v>LOSS_LEDGER</x:v>
      </x:c>
      <x:c r="R269" s="16" t="str">
        <x:v>SILENT_ACTING / CALLBACK / HUMAN_BEAT</x:v>
      </x:c>
      <x:c r="S269" s="16" t="str">
        <x:v>비용을 청구하지 않고 손실로 떠안는 마태오의 방식을 보여줌</x:v>
      </x:c>
      <x:c r="T269" s="16" t="str">
        <x:v>침묵한 반응의 이유를 후발 정보로 다시 읽음 / 동일 구도 반복이 관계·기억의 변화를 증명 / EP19·EP28의 장부와 연결되어 ‘손실’이 저항의 기록으로 확장</x:v>
      </x:c>
      <x:c r="U269" s="16" t="str">
        <x:v>기록 / 이름 / 손실</x:v>
      </x:c>
      <x:c r="V269" s="16" t="str">
        <x:v>비공개 손실 처리·허브 경제 상태 변화</x:v>
      </x:c>
      <x:c r="W269" s="16" t="str">
        <x:v>PAYOFF: EP19·EP28: 손실 장부·이름 기록</x:v>
      </x:c>
      <x:c r="X269" s="22" t="str">
        <x:v>PAYOFF</x:v>
      </x:c>
      <x:c r="Y269" s="16" t="str">
        <x:v>대사 금지 또는 응답 없는 침묵 유지 / 지정 컷과 동일 구도 / GLOBAL-VIS-01</x:v>
      </x:c>
      <x:c r="Z269" s="22" t="str">
        <x:v>SOURCE</x:v>
      </x:c>
      <x:c r="AA269" s="22"/>
      <x:c r="AB269" s="16"/>
      <x:c r="AC269" s="16" t="str">
        <x:v>EP01_대본_전량_001-282(2).md</x:v>
      </x:c>
      <x:c r="AD269" s="22" t="n">
        <x:v>3135</x:v>
      </x:c>
      <x:c r="AE269" s="139" t="str">
        <x:v>PUBLIC_CANON</x:v>
      </x:c>
      <x:c r="AF269" s="139" t="str">
        <x:v>CONTRACT</x:v>
      </x:c>
    </x:row>
    <x:row r="270" ht="72" customHeight="1">
      <x:c r="A270" s="24" t="str">
        <x:v>269</x:v>
      </x:c>
      <x:c r="B270" s="26" t="str">
        <x:v>B269-269</x:v>
      </x:c>
      <x:c r="C270" s="22" t="n">
        <x:v>1</x:v>
      </x:c>
      <x:c r="D270" s="22" t="str">
        <x:v>1/1</x:v>
      </x:c>
      <x:c r="E270" s="26" t="str">
        <x:v>EP01-S16</x:v>
      </x:c>
      <x:c r="F270" s="20" t="str">
        <x:v>15절 출격</x:v>
      </x:c>
      <x:c r="G270" s="20" t="str">
        <x:v>세로 4단</x:v>
      </x:c>
      <x:c r="H270" s="22" t="str">
        <x:v>🔒</x:v>
      </x:c>
      <x:c r="I270" s="24" t="str">
        <x:v>08-1</x:v>
      </x:c>
      <x:c r="J270" s="20" t="str">
        <x:v>출격문</x:v>
      </x:c>
      <x:c r="K270" s="16" t="str">
        <x:v>① 문을 여는 기계 ② 올라가는 철문 ③ 밀려드는 붉은 안개 ④ 열린 틈</x:v>
      </x:c>
      <x:c r="L270" s="16" t="str">
        <x:v>① 문을 여는 기계 ② 올라가는 철문 ③ 밀려드는 붉은 안개 ④ 열린 틈</x:v>
      </x:c>
      <x:c r="M270" s="16" t="str"/>
      <x:c r="N270" s="16" t="str">
        <x:v>쿠우우웅—</x:v>
      </x:c>
      <x:c r="O270" s="16" t="str">
        <x:v>1,100px · 여백 극</x:v>
      </x:c>
      <x:c r="P270" s="16" t="str">
        <x:v>Four stacked panels: a gate mechanism engaging, a huge steel gate rising, red fog pouring in, the open gap. SAME FOUR-PANEL STRUCTURE AS CUT 071 but amber toned instead of sepia.</x:v>
      </x:c>
      <x:c r="Q270" s="16" t="str">
        <x:v>SORTIE_CLIFFHANGER</x:v>
      </x:c>
      <x:c r="R270" s="16" t="str">
        <x:v>CALLBACK</x:v>
      </x:c>
      <x:c r="S270" s="16" t="str">
        <x:v>상처와 C 인식표를 안고 첫 출격으로 넘어가는 회차 훅</x:v>
      </x:c>
      <x:c r="T270" s="16" t="str">
        <x:v>동일 구도 반복이 관계·기억의 변화를 증명</x:v>
      </x:c>
      <x:c r="U270" s="16" t="str">
        <x:v>출격 / 책임 / 다음 거리</x:v>
      </x:c>
      <x:c r="V270" s="16" t="str">
        <x:v>출격문·미션 시작·상처 유지·다음 지역 로딩</x:v>
      </x:c>
      <x:c r="W270" s="16" t="str">
        <x:v>REFRAME: CUT071 4단 구조</x:v>
      </x:c>
      <x:c r="X270" s="22" t="str">
        <x:v>REFRAME</x:v>
      </x:c>
      <x:c r="Y270" s="16" t="str">
        <x:v>지정 컷과 동일 구도 / GLOBAL-VIS-01</x:v>
      </x:c>
      <x:c r="Z270" s="22" t="str">
        <x:v>SOURCE</x:v>
      </x:c>
      <x:c r="AA270" s="22"/>
      <x:c r="AB270" s="16"/>
      <x:c r="AC270" s="16" t="str">
        <x:v>EP01_대본_전량_001-282(2).md</x:v>
      </x:c>
      <x:c r="AD270" s="22" t="n">
        <x:v>3153</x:v>
      </x:c>
      <x:c r="AE270" s="139" t="str">
        <x:v>PRIVATE_TRUTH</x:v>
      </x:c>
      <x:c r="AF270" s="139" t="str">
        <x:v>REFRAME_PROMISE</x:v>
      </x:c>
    </x:row>
    <x:row r="271" ht="72" customHeight="1">
      <x:c r="A271" s="24" t="str">
        <x:v>270</x:v>
      </x:c>
      <x:c r="B271" s="26" t="str">
        <x:v>B270-270</x:v>
      </x:c>
      <x:c r="C271" s="22" t="n">
        <x:v>1</x:v>
      </x:c>
      <x:c r="D271" s="22" t="str">
        <x:v>1/1</x:v>
      </x:c>
      <x:c r="E271" s="26" t="str">
        <x:v>EP01-S16</x:v>
      </x:c>
      <x:c r="F271" s="20" t="str">
        <x:v>15절 출격</x:v>
      </x:c>
      <x:c r="G271" s="20" t="str">
        <x:v>EWIDE</x:v>
      </x:c>
      <x:c r="H271" s="22" t="str"/>
      <x:c r="I271" s="24" t="str">
        <x:v>08-1</x:v>
      </x:c>
      <x:c r="J271" s="20" t="str">
        <x:v>출격문</x:v>
      </x:c>
      <x:c r="K271" s="16" t="str">
        <x:v>「강남역 지하상가 출격문」</x:v>
      </x:c>
      <x:c r="L271" s="16" t="str">
        <x:v>「강남역 지하상가 출격문」</x:v>
      </x:c>
      <x:c r="M271" s="16" t="str"/>
      <x:c r="N271" s="16" t="str"/>
      <x:c r="O271" s="16" t="str">
        <x:v>470px · 여백 중</x:v>
      </x:c>
      <x:c r="P271" s="16" t="str">
        <x:v>A huge sortie gate with a Korean place name marked above it.</x:v>
      </x:c>
      <x:c r="Q271" s="16" t="str">
        <x:v>SORTIE_CLIFFHANGER</x:v>
      </x:c>
      <x:c r="R271" s="16" t="str"/>
      <x:c r="S271" s="16" t="str">
        <x:v>상처와 C 인식표를 안고 첫 출격으로 넘어가는 회차 훅</x:v>
      </x:c>
      <x:c r="T271" s="16" t="str">
        <x:v>후속 정보가 생기면 행동·배경의 의미를 재검토</x:v>
      </x:c>
      <x:c r="U271" s="16" t="str">
        <x:v>출격 / 책임 / 다음 거리</x:v>
      </x:c>
      <x:c r="V271" s="16" t="str">
        <x:v>출격문·미션 시작·상처 유지·다음 지역 로딩</x:v>
      </x:c>
      <x:c r="W271" s="16"/>
      <x:c r="X271" s="22" t="str">
        <x:v>NONE</x:v>
      </x:c>
      <x:c r="Y271" s="16" t="str">
        <x:v>GLOBAL-VIS-01</x:v>
      </x:c>
      <x:c r="Z271" s="22" t="str">
        <x:v>SOURCE</x:v>
      </x:c>
      <x:c r="AA271" s="22"/>
      <x:c r="AB271" s="16"/>
      <x:c r="AC271" s="16" t="str">
        <x:v>EP01_대본_전량_001-282(2).md</x:v>
      </x:c>
      <x:c r="AD271" s="22" t="n">
        <x:v>3166</x:v>
      </x:c>
      <x:c r="AE271" s="139" t="str">
        <x:v>NOT_APPLICABLE</x:v>
      </x:c>
      <x:c r="AF271" s="139" t="str">
        <x:v>NONE</x:v>
      </x:c>
    </x:row>
    <x:row r="272" ht="72" customHeight="1">
      <x:c r="A272" s="24" t="str">
        <x:v>271</x:v>
      </x:c>
      <x:c r="B272" s="26" t="str">
        <x:v>B271-271</x:v>
      </x:c>
      <x:c r="C272" s="22" t="n">
        <x:v>1</x:v>
      </x:c>
      <x:c r="D272" s="22" t="str">
        <x:v>1/1</x:v>
      </x:c>
      <x:c r="E272" s="26" t="str">
        <x:v>EP01-S16</x:v>
      </x:c>
      <x:c r="F272" s="20" t="str">
        <x:v>15절 출격</x:v>
      </x:c>
      <x:c r="G272" s="20" t="str">
        <x:v>MS</x:v>
      </x:c>
      <x:c r="H272" s="22" t="str"/>
      <x:c r="I272" s="24" t="str">
        <x:v>08-1-2</x:v>
      </x:c>
      <x:c r="J272" s="20" t="str">
        <x:v>출격문 근접판</x:v>
      </x:c>
      <x:c r="K272" s="16" t="str">
        <x:v>아인이 낫을 어깨에 걸친다</x:v>
      </x:c>
      <x:c r="L272" s="16" t="str">
        <x:v>아인이 낫을 어깨에 걸친다</x:v>
      </x:c>
      <x:c r="M272" s="16" t="str"/>
      <x:c r="N272" s="16" t="str"/>
      <x:c r="O272" s="16" t="str">
        <x:v>430px · 여백 좁</x:v>
      </x:c>
      <x:c r="P272" s="16" t="str">
        <x:v>A young woman shouldering her scythe.</x:v>
      </x:c>
      <x:c r="Q272" s="16" t="str">
        <x:v>SORTIE_CLIFFHANGER</x:v>
      </x:c>
      <x:c r="R272" s="16" t="str"/>
      <x:c r="S272" s="16" t="str">
        <x:v>상처와 C 인식표를 안고 첫 출격으로 넘어가는 회차 훅</x:v>
      </x:c>
      <x:c r="T272" s="16" t="str">
        <x:v>후속 정보가 생기면 행동·배경의 의미를 재검토</x:v>
      </x:c>
      <x:c r="U272" s="16" t="str">
        <x:v>거리 / 박자 / 원</x:v>
      </x:c>
      <x:c r="V272" s="16" t="str">
        <x:v>출격문·미션 시작·상처 유지·다음 지역 로딩</x:v>
      </x:c>
      <x:c r="W272" s="16"/>
      <x:c r="X272" s="22" t="str">
        <x:v>NONE</x:v>
      </x:c>
      <x:c r="Y272" s="16" t="str">
        <x:v>아인 왼쪽 견갑·오른쪽 건틀릿 좌우 고정 / GLOBAL-VIS-01</x:v>
      </x:c>
      <x:c r="Z272" s="22" t="str">
        <x:v>SOURCE</x:v>
      </x:c>
      <x:c r="AA272" s="22"/>
      <x:c r="AB272" s="16"/>
      <x:c r="AC272" s="16" t="str">
        <x:v>EP01_대본_전량_001-282(2).md</x:v>
      </x:c>
      <x:c r="AD272" s="22" t="n">
        <x:v>3178</x:v>
      </x:c>
      <x:c r="AE272" s="139" t="str">
        <x:v>NOT_APPLICABLE</x:v>
      </x:c>
      <x:c r="AF272" s="139" t="str">
        <x:v>NONE</x:v>
      </x:c>
    </x:row>
    <x:row r="273" ht="72" customHeight="1">
      <x:c r="A273" s="24" t="str">
        <x:v>272</x:v>
      </x:c>
      <x:c r="B273" s="26" t="str">
        <x:v>B272-272</x:v>
      </x:c>
      <x:c r="C273" s="22" t="n">
        <x:v>1</x:v>
      </x:c>
      <x:c r="D273" s="22" t="str">
        <x:v>1/1</x:v>
      </x:c>
      <x:c r="E273" s="26" t="str">
        <x:v>EP01-S16</x:v>
      </x:c>
      <x:c r="F273" s="20" t="str">
        <x:v>15절 출격</x:v>
      </x:c>
      <x:c r="G273" s="20" t="str">
        <x:v>ECU</x:v>
      </x:c>
      <x:c r="H273" s="22" t="str"/>
      <x:c r="I273" s="24" t="str">
        <x:v>08-1-2</x:v>
      </x:c>
      <x:c r="J273" s="20" t="str">
        <x:v>출격문 근접판</x:v>
      </x:c>
      <x:c r="K273" s="16" t="str">
        <x:v>목덜미의 코어가 한 번 밝게 뛴다</x:v>
      </x:c>
      <x:c r="L273" s="16" t="str">
        <x:v>목덜미의 코어가 한 번 밝게 뛴다</x:v>
      </x:c>
      <x:c r="M273" s="16" t="str"/>
      <x:c r="N273" s="16" t="str"/>
      <x:c r="O273" s="16" t="str">
        <x:v>380px · 여백 좁</x:v>
      </x:c>
      <x:c r="P273" s="16" t="str">
        <x:v>An amber core at a nape pulsing once, brightly.</x:v>
      </x:c>
      <x:c r="Q273" s="16" t="str">
        <x:v>SORTIE_CLIFFHANGER</x:v>
      </x:c>
      <x:c r="R273" s="16" t="str"/>
      <x:c r="S273" s="16" t="str">
        <x:v>상처와 C 인식표를 안고 첫 출격으로 넘어가는 회차 훅</x:v>
      </x:c>
      <x:c r="T273" s="16" t="str">
        <x:v>후속 정보가 생기면 행동·배경의 의미를 재검토</x:v>
      </x:c>
      <x:c r="U273" s="16" t="str">
        <x:v>각인 / 성장 대가 / 수거</x:v>
      </x:c>
      <x:c r="V273" s="16" t="str">
        <x:v>출격문·미션 시작·상처 유지·다음 지역 로딩</x:v>
      </x:c>
      <x:c r="W273" s="16"/>
      <x:c r="X273" s="22" t="str">
        <x:v>NONE</x:v>
      </x:c>
      <x:c r="Y273" s="16" t="str">
        <x:v>GLOBAL-VIS-01</x:v>
      </x:c>
      <x:c r="Z273" s="22" t="str">
        <x:v>SOURCE</x:v>
      </x:c>
      <x:c r="AA273" s="22"/>
      <x:c r="AB273" s="16"/>
      <x:c r="AC273" s="16" t="str">
        <x:v>EP01_대본_전량_001-282(2).md</x:v>
      </x:c>
      <x:c r="AD273" s="22" t="n">
        <x:v>3190</x:v>
      </x:c>
      <x:c r="AE273" s="139" t="str">
        <x:v>NOT_APPLICABLE</x:v>
      </x:c>
      <x:c r="AF273" s="139" t="str">
        <x:v>NONE</x:v>
      </x:c>
    </x:row>
    <x:row r="274" ht="72" customHeight="1">
      <x:c r="A274" s="24" t="str">
        <x:v>273</x:v>
      </x:c>
      <x:c r="B274" s="26" t="str">
        <x:v>B273-273</x:v>
      </x:c>
      <x:c r="C274" s="22" t="n">
        <x:v>1</x:v>
      </x:c>
      <x:c r="D274" s="22" t="str">
        <x:v>1/1</x:v>
      </x:c>
      <x:c r="E274" s="26" t="str">
        <x:v>EP01-S16</x:v>
      </x:c>
      <x:c r="F274" s="20" t="str">
        <x:v>15절 출격</x:v>
      </x:c>
      <x:c r="G274" s="20" t="str">
        <x:v>인서트</x:v>
      </x:c>
      <x:c r="H274" s="22" t="str">
        <x:v>🤫</x:v>
      </x:c>
      <x:c r="I274" s="24" t="str">
        <x:v>08-1-2</x:v>
      </x:c>
      <x:c r="J274" s="20" t="str">
        <x:v>출격문 근접판</x:v>
      </x:c>
      <x:c r="K274" s="16" t="str">
        <x:v>어깨가 욱신거린다. 손이 잠깐 멈춘다</x:v>
      </x:c>
      <x:c r="L274" s="16" t="str">
        <x:v>어깨가 욱신거린다. 손이 잠깐 멈춘다</x:v>
      </x:c>
      <x:c r="M274" s="16" t="str"/>
      <x:c r="N274" s="16" t="str"/>
      <x:c r="O274" s="16" t="str">
        <x:v>360px · 여백 좁</x:v>
      </x:c>
      <x:c r="P274" s="16" t="str">
        <x:v>A hand pausing mid-motion at a shoulder.</x:v>
      </x:c>
      <x:c r="Q274" s="16" t="str">
        <x:v>SORTIE_CLIFFHANGER</x:v>
      </x:c>
      <x:c r="R274" s="16" t="str">
        <x:v>SILENT_ACTING</x:v>
      </x:c>
      <x:c r="S274" s="16" t="str">
        <x:v>상처와 C 인식표를 안고 첫 출격으로 넘어가는 회차 훅</x:v>
      </x:c>
      <x:c r="T274" s="16" t="str">
        <x:v>침묵한 반응의 이유를 후발 정보로 다시 읽음</x:v>
      </x:c>
      <x:c r="U274" s="16" t="str">
        <x:v>손 / 놓침 / 책임</x:v>
      </x:c>
      <x:c r="V274" s="16" t="str">
        <x:v>출격문·미션 시작·상처 유지·다음 지역 로딩</x:v>
      </x:c>
      <x:c r="W274" s="16"/>
      <x:c r="X274" s="22" t="str">
        <x:v>NONE</x:v>
      </x:c>
      <x:c r="Y274" s="16" t="str">
        <x:v>대사 금지 또는 응답 없는 침묵 유지 / GLOBAL-VIS-01</x:v>
      </x:c>
      <x:c r="Z274" s="22" t="str">
        <x:v>SOURCE</x:v>
      </x:c>
      <x:c r="AA274" s="22"/>
      <x:c r="AB274" s="16"/>
      <x:c r="AC274" s="16" t="str">
        <x:v>EP01_대본_전량_001-282(2).md</x:v>
      </x:c>
      <x:c r="AD274" s="22" t="n">
        <x:v>3202</x:v>
      </x:c>
      <x:c r="AE274" s="139" t="str">
        <x:v>NOT_APPLICABLE</x:v>
      </x:c>
      <x:c r="AF274" s="139" t="str">
        <x:v>NONE</x:v>
      </x:c>
    </x:row>
    <x:row r="275" ht="72" customHeight="1">
      <x:c r="A275" s="24" t="str">
        <x:v>274</x:v>
      </x:c>
      <x:c r="B275" s="26" t="str">
        <x:v>B274-274</x:v>
      </x:c>
      <x:c r="C275" s="22" t="n">
        <x:v>1</x:v>
      </x:c>
      <x:c r="D275" s="22" t="str">
        <x:v>1/1</x:v>
      </x:c>
      <x:c r="E275" s="26" t="str">
        <x:v>EP01-S16</x:v>
      </x:c>
      <x:c r="F275" s="20" t="str">
        <x:v>15절 출격</x:v>
      </x:c>
      <x:c r="G275" s="20" t="str">
        <x:v>인서트</x:v>
      </x:c>
      <x:c r="H275" s="22" t="str">
        <x:v>🤫</x:v>
      </x:c>
      <x:c r="I275" s="24" t="str">
        <x:v>08-1-2</x:v>
      </x:c>
      <x:c r="J275" s="20" t="str">
        <x:v>출격문 근접판</x:v>
      </x:c>
      <x:c r="K275" s="16" t="str">
        <x:v>갈비뼈 어딘가에 금이 간 것 같다</x:v>
      </x:c>
      <x:c r="L275" s="16" t="str">
        <x:v>갈비뼈 어딘가에 금이 간 것 같다</x:v>
      </x:c>
      <x:c r="M275" s="16" t="str"/>
      <x:c r="N275" s="16" t="str"/>
      <x:c r="O275" s="16" t="str">
        <x:v>360px · 여백 중</x:v>
      </x:c>
      <x:c r="P275" s="16" t="str">
        <x:v>A hand pressed against ribs.</x:v>
      </x:c>
      <x:c r="Q275" s="16" t="str">
        <x:v>SORTIE_CLIFFHANGER</x:v>
      </x:c>
      <x:c r="R275" s="16" t="str">
        <x:v>SILENT_ACTING</x:v>
      </x:c>
      <x:c r="S275" s="16" t="str">
        <x:v>상처와 C 인식표를 안고 첫 출격으로 넘어가는 회차 훅</x:v>
      </x:c>
      <x:c r="T275" s="16" t="str">
        <x:v>침묵한 반응의 이유를 후발 정보로 다시 읽음</x:v>
      </x:c>
      <x:c r="U275" s="16" t="str">
        <x:v>출격 / 책임 / 다음 거리</x:v>
      </x:c>
      <x:c r="V275" s="16" t="str">
        <x:v>출격문·미션 시작·상처 유지·다음 지역 로딩</x:v>
      </x:c>
      <x:c r="W275" s="16"/>
      <x:c r="X275" s="22" t="str">
        <x:v>NONE</x:v>
      </x:c>
      <x:c r="Y275" s="16" t="str">
        <x:v>대사 금지 또는 응답 없는 침묵 유지 / GLOBAL-VIS-01</x:v>
      </x:c>
      <x:c r="Z275" s="22" t="str">
        <x:v>SOURCE</x:v>
      </x:c>
      <x:c r="AA275" s="22"/>
      <x:c r="AB275" s="16"/>
      <x:c r="AC275" s="16" t="str">
        <x:v>EP01_대본_전량_001-282(2).md</x:v>
      </x:c>
      <x:c r="AD275" s="22" t="n">
        <x:v>3214</x:v>
      </x:c>
      <x:c r="AE275" s="139" t="str">
        <x:v>NOT_APPLICABLE</x:v>
      </x:c>
      <x:c r="AF275" s="139" t="str">
        <x:v>NONE</x:v>
      </x:c>
    </x:row>
    <x:row r="276" ht="72" customHeight="1">
      <x:c r="A276" s="24" t="str">
        <x:v>275</x:v>
      </x:c>
      <x:c r="B276" s="26" t="str">
        <x:v>B275-275</x:v>
      </x:c>
      <x:c r="C276" s="22" t="n">
        <x:v>1</x:v>
      </x:c>
      <x:c r="D276" s="22" t="str">
        <x:v>1/1</x:v>
      </x:c>
      <x:c r="E276" s="26" t="str">
        <x:v>EP01-S16</x:v>
      </x:c>
      <x:c r="F276" s="20" t="str">
        <x:v>15절 출격</x:v>
      </x:c>
      <x:c r="G276" s="20" t="str">
        <x:v>CU</x:v>
      </x:c>
      <x:c r="H276" s="22" t="str">
        <x:v>🤫</x:v>
      </x:c>
      <x:c r="I276" s="24" t="str">
        <x:v>08-1-2</x:v>
      </x:c>
      <x:c r="J276" s="20" t="str">
        <x:v>출격문 근접판</x:v>
      </x:c>
      <x:c r="K276" s="16" t="str">
        <x:v>상관없다</x:v>
      </x:c>
      <x:c r="L276" s="16" t="str">
        <x:v>상관없다</x:v>
      </x:c>
      <x:c r="M276" s="16" t="str"/>
      <x:c r="N276" s="16" t="str"/>
      <x:c r="O276" s="16" t="str">
        <x:v>400px · 여백 넓</x:v>
      </x:c>
      <x:c r="P276" s="16" t="str">
        <x:v>A young woman's face. She continues anyway. No expression change.</x:v>
      </x:c>
      <x:c r="Q276" s="16" t="str">
        <x:v>SORTIE_CLIFFHANGER</x:v>
      </x:c>
      <x:c r="R276" s="16" t="str">
        <x:v>SILENT_ACTING</x:v>
      </x:c>
      <x:c r="S276" s="16" t="str">
        <x:v>상처와 C 인식표를 안고 첫 출격으로 넘어가는 회차 훅</x:v>
      </x:c>
      <x:c r="T276" s="16" t="str">
        <x:v>침묵한 반응의 이유를 후발 정보로 다시 읽음</x:v>
      </x:c>
      <x:c r="U276" s="16" t="str">
        <x:v>출격 / 책임 / 다음 거리</x:v>
      </x:c>
      <x:c r="V276" s="16" t="str">
        <x:v>출격문·미션 시작·상처 유지·다음 지역 로딩</x:v>
      </x:c>
      <x:c r="W276" s="16"/>
      <x:c r="X276" s="22" t="str">
        <x:v>NONE</x:v>
      </x:c>
      <x:c r="Y276" s="16" t="str">
        <x:v>대사 금지 또는 응답 없는 침묵 유지 / 아인 왼쪽 견갑·오른쪽 건틀릿 좌우 고정 / GLOBAL-VIS-01</x:v>
      </x:c>
      <x:c r="Z276" s="22" t="str">
        <x:v>SOURCE</x:v>
      </x:c>
      <x:c r="AA276" s="22"/>
      <x:c r="AB276" s="16"/>
      <x:c r="AC276" s="16" t="str">
        <x:v>EP01_대본_전량_001-282(2).md</x:v>
      </x:c>
      <x:c r="AD276" s="22" t="n">
        <x:v>3226</x:v>
      </x:c>
      <x:c r="AE276" s="139" t="str">
        <x:v>NOT_APPLICABLE</x:v>
      </x:c>
      <x:c r="AF276" s="139" t="str">
        <x:v>NONE</x:v>
      </x:c>
    </x:row>
    <x:row r="277" ht="72" customHeight="1">
      <x:c r="A277" s="24" t="str">
        <x:v>276</x:v>
      </x:c>
      <x:c r="B277" s="26" t="str">
        <x:v>B276-276</x:v>
      </x:c>
      <x:c r="C277" s="22" t="n">
        <x:v>1</x:v>
      </x:c>
      <x:c r="D277" s="22" t="str">
        <x:v>1/1</x:v>
      </x:c>
      <x:c r="E277" s="26" t="str">
        <x:v>EP01-S16</x:v>
      </x:c>
      <x:c r="F277" s="20" t="str">
        <x:v>15절 출격</x:v>
      </x:c>
      <x:c r="G277" s="20" t="str">
        <x:v>MS</x:v>
      </x:c>
      <x:c r="H277" s="22" t="str">
        <x:v>⭐</x:v>
      </x:c>
      <x:c r="I277" s="24" t="str">
        <x:v>08-1-2</x:v>
      </x:c>
      <x:c r="J277" s="20" t="str">
        <x:v>출격문 근접판</x:v>
      </x:c>
      <x:c r="K277" s="16" t="str">
        <x:v>정면. 안개를 본다</x:v>
      </x:c>
      <x:c r="L277" s="16" t="str">
        <x:v>정면. 안개를 본다</x:v>
      </x:c>
      <x:c r="M277" s="16" t="str">
        <x:v>대사 · 아인: 「…가자, 카인. 두 번 다시 놓치는 손은 없어야 하니까.」</x:v>
      </x:c>
      <x:c r="N277" s="16" t="str"/>
      <x:c r="O277" s="16" t="str">
        <x:v>560px · 여백 극</x:v>
      </x:c>
      <x:c r="P277" s="16" t="str">
        <x:v>A young woman facing forward into red fog.</x:v>
      </x:c>
      <x:c r="Q277" s="16" t="str">
        <x:v>SORTIE_CLIFFHANGER</x:v>
      </x:c>
      <x:c r="R277" s="16" t="str">
        <x:v>SIGNATURE</x:v>
      </x:c>
      <x:c r="S277" s="16" t="str">
        <x:v>상처와 C 인식표를 안고 첫 출격으로 넘어가는 회차 훅</x:v>
      </x:c>
      <x:c r="T277" s="16" t="str">
        <x:v>시그니처 상징의 기원</x:v>
      </x:c>
      <x:c r="U277" s="16" t="str">
        <x:v>출격 / 책임 / 다음 거리</x:v>
      </x:c>
      <x:c r="V277" s="16" t="str">
        <x:v>출격문·미션 시작·상처 유지·다음 지역 로딩</x:v>
      </x:c>
      <x:c r="W277" s="16" t="str">
        <x:v>EXPANSION: 외전 「셔터」 / 제1부 책임 축</x:v>
      </x:c>
      <x:c r="X277" s="22" t="str">
        <x:v>EXPANSION</x:v>
      </x:c>
      <x:c r="Y277" s="16" t="str">
        <x:v>아인 왼쪽 견갑·오른쪽 건틀릿 좌우 고정 / GLOBAL-VIS-01</x:v>
      </x:c>
      <x:c r="Z277" s="22" t="str">
        <x:v>SOURCE</x:v>
      </x:c>
      <x:c r="AA277" s="22"/>
      <x:c r="AB277" s="16"/>
      <x:c r="AC277" s="16" t="str">
        <x:v>EP01_대본_전량_001-282(2).md</x:v>
      </x:c>
      <x:c r="AD277" s="22" t="n">
        <x:v>3238</x:v>
      </x:c>
      <x:c r="AE277" s="139" t="str">
        <x:v>PRIVATE_TRUTH</x:v>
      </x:c>
      <x:c r="AF277" s="139" t="str">
        <x:v>OPTIONAL_EXTENSION</x:v>
      </x:c>
    </x:row>
    <x:row r="278" ht="72" customHeight="1">
      <x:c r="A278" s="24" t="str">
        <x:v>277</x:v>
      </x:c>
      <x:c r="B278" s="26" t="str">
        <x:v>B277-277</x:v>
      </x:c>
      <x:c r="C278" s="22" t="n">
        <x:v>1</x:v>
      </x:c>
      <x:c r="D278" s="22" t="str">
        <x:v>1/1</x:v>
      </x:c>
      <x:c r="E278" s="26" t="str">
        <x:v>EP01-S16</x:v>
      </x:c>
      <x:c r="F278" s="20" t="str">
        <x:v>15절 출격</x:v>
      </x:c>
      <x:c r="G278" s="20" t="str">
        <x:v>MS 카인</x:v>
      </x:c>
      <x:c r="H278" s="22" t="str"/>
      <x:c r="I278" s="24" t="str">
        <x:v>08-1-2</x:v>
      </x:c>
      <x:c r="J278" s="20" t="str">
        <x:v>출격문 근접판</x:v>
      </x:c>
      <x:c r="K278" s="16" t="str">
        <x:v>대검을 뽑아 메며 씩 웃는다</x:v>
      </x:c>
      <x:c r="L278" s="16" t="str">
        <x:v>대검을 뽑아 메며 씩 웃는다</x:v>
      </x:c>
      <x:c r="M278" s="16" t="str">
        <x:v>대사 · 카인: 「오냐. 놈들 머리통을 깨부수러 가자고!」</x:v>
      </x:c>
      <x:c r="N278" s="16" t="str"/>
      <x:c r="O278" s="16" t="str">
        <x:v>470px · 여백 중</x:v>
      </x:c>
      <x:c r="P278" s="16" t="str">
        <x:v>A large man shouldering his greatsword with a grin.</x:v>
      </x:c>
      <x:c r="Q278" s="16" t="str">
        <x:v>SORTIE_CLIFFHANGER</x:v>
      </x:c>
      <x:c r="R278" s="16" t="str"/>
      <x:c r="S278" s="16" t="str">
        <x:v>상처와 C 인식표를 안고 첫 출격으로 넘어가는 회차 훅</x:v>
      </x:c>
      <x:c r="T278" s="16" t="str">
        <x:v>후속 정보가 생기면 행동·배경의 의미를 재검토</x:v>
      </x:c>
      <x:c r="U278" s="16" t="str">
        <x:v>출격 / 책임 / 다음 거리</x:v>
      </x:c>
      <x:c r="V278" s="16" t="str">
        <x:v>출격문·미션 시작·상처 유지·다음 지역 로딩</x:v>
      </x:c>
      <x:c r="W278" s="16"/>
      <x:c r="X278" s="22" t="str">
        <x:v>NONE</x:v>
      </x:c>
      <x:c r="Y278" s="16" t="str">
        <x:v>GLOBAL-VIS-01</x:v>
      </x:c>
      <x:c r="Z278" s="22" t="str">
        <x:v>SOURCE</x:v>
      </x:c>
      <x:c r="AA278" s="22"/>
      <x:c r="AB278" s="16"/>
      <x:c r="AC278" s="16" t="str">
        <x:v>EP01_대본_전량_001-282(2).md</x:v>
      </x:c>
      <x:c r="AD278" s="22" t="n">
        <x:v>3251</x:v>
      </x:c>
      <x:c r="AE278" s="139" t="str">
        <x:v>NOT_APPLICABLE</x:v>
      </x:c>
      <x:c r="AF278" s="139" t="str">
        <x:v>NONE</x:v>
      </x:c>
    </x:row>
    <x:row r="279" ht="72" customHeight="1">
      <x:c r="A279" s="24" t="str">
        <x:v>278</x:v>
      </x:c>
      <x:c r="B279" s="26" t="str">
        <x:v>B278-278</x:v>
      </x:c>
      <x:c r="C279" s="22" t="n">
        <x:v>1</x:v>
      </x:c>
      <x:c r="D279" s="22" t="str">
        <x:v>1/1</x:v>
      </x:c>
      <x:c r="E279" s="26" t="str">
        <x:v>EP01-S16</x:v>
      </x:c>
      <x:c r="F279" s="20" t="str">
        <x:v>15절 출격</x:v>
      </x:c>
      <x:c r="G279" s="20" t="str">
        <x:v>CU 카인</x:v>
      </x:c>
      <x:c r="H279" s="22" t="str"/>
      <x:c r="I279" s="24" t="str">
        <x:v>08-1-2</x:v>
      </x:c>
      <x:c r="J279" s="20" t="str">
        <x:v>출격문 근접판</x:v>
      </x:c>
      <x:c r="K279" s="16" t="str">
        <x:v>한 걸음 내딛다가, 작게</x:v>
      </x:c>
      <x:c r="L279" s="16" t="str">
        <x:v>한 걸음 내딛다가, 작게</x:v>
      </x:c>
      <x:c r="M279" s="16" t="str">
        <x:v>대사 · 카인: 「…30만 원어치는 더 부숴야겠어.」</x:v>
      </x:c>
      <x:c r="N279" s="16" t="str"/>
      <x:c r="O279" s="16" t="str">
        <x:v>400px · 여백 넓</x:v>
      </x:c>
      <x:c r="P279" s="16" t="str">
        <x:v>A large man taking a step, muttering.</x:v>
      </x:c>
      <x:c r="Q279" s="16" t="str">
        <x:v>SORTIE_CLIFFHANGER</x:v>
      </x:c>
      <x:c r="R279" s="16" t="str"/>
      <x:c r="S279" s="16" t="str">
        <x:v>상처와 C 인식표를 안고 첫 출격으로 넘어가는 회차 훅</x:v>
      </x:c>
      <x:c r="T279" s="16" t="str">
        <x:v>후속 정보가 생기면 행동·배경의 의미를 재검토</x:v>
      </x:c>
      <x:c r="U279" s="16" t="str">
        <x:v>거리 / 보호 / 선택</x:v>
      </x:c>
      <x:c r="V279" s="16" t="str">
        <x:v>출격문·미션 시작·상처 유지·다음 지역 로딩</x:v>
      </x:c>
      <x:c r="W279" s="16"/>
      <x:c r="X279" s="22" t="str">
        <x:v>NONE</x:v>
      </x:c>
      <x:c r="Y279" s="16" t="str">
        <x:v>GLOBAL-VIS-01</x:v>
      </x:c>
      <x:c r="Z279" s="22" t="str">
        <x:v>SOURCE</x:v>
      </x:c>
      <x:c r="AA279" s="22"/>
      <x:c r="AB279" s="16"/>
      <x:c r="AC279" s="16" t="str">
        <x:v>EP01_대본_전량_001-282(2).md</x:v>
      </x:c>
      <x:c r="AD279" s="22" t="n">
        <x:v>3264</x:v>
      </x:c>
      <x:c r="AE279" s="139" t="str">
        <x:v>NOT_APPLICABLE</x:v>
      </x:c>
      <x:c r="AF279" s="139" t="str">
        <x:v>NONE</x:v>
      </x:c>
    </x:row>
    <x:row r="280" ht="72" customHeight="1">
      <x:c r="A280" s="24" t="str">
        <x:v>279</x:v>
      </x:c>
      <x:c r="B280" s="26" t="str">
        <x:v>B279-279</x:v>
      </x:c>
      <x:c r="C280" s="22" t="n">
        <x:v>1</x:v>
      </x:c>
      <x:c r="D280" s="22" t="str">
        <x:v>1/1</x:v>
      </x:c>
      <x:c r="E280" s="26" t="str">
        <x:v>EP01-S16</x:v>
      </x:c>
      <x:c r="F280" s="20" t="str">
        <x:v>15절 출격</x:v>
      </x:c>
      <x:c r="G280" s="20" t="str">
        <x:v>WIDE 뒤에서</x:v>
      </x:c>
      <x:c r="H280" s="22" t="str">
        <x:v>⭐🤫</x:v>
      </x:c>
      <x:c r="I280" s="24" t="str">
        <x:v>08-1-1</x:v>
      </x:c>
      <x:c r="J280" s="20" t="str">
        <x:v>문 너머</x:v>
      </x:c>
      <x:c r="K280" s="16" t="str">
        <x:v>두 사람이 안개 속으로 걸어 들어간다. 카인은 반보 뒤였다</x:v>
      </x:c>
      <x:c r="L280" s="16" t="str">
        <x:v>두 사람이 안개 속으로 걸어 들어간다. 카인은 반보 뒤였다</x:v>
      </x:c>
      <x:c r="M280" s="16" t="str"/>
      <x:c r="N280" s="16" t="str"/>
      <x:c r="O280" s="16" t="str">
        <x:v>560px · 여백 중</x:v>
      </x:c>
      <x:c r="P280" s="16" t="str">
        <x:v>From behind. Two figures walking into red fog. The larger man is half a step behind. BOTH PAIRS OF FEET IN FRAME.</x:v>
      </x:c>
      <x:c r="Q280" s="16" t="str">
        <x:v>SORTIE_CLIFFHANGER</x:v>
      </x:c>
      <x:c r="R280" s="16" t="str">
        <x:v>SIGNATURE / SILENT_ACTING</x:v>
      </x:c>
      <x:c r="S280" s="16" t="str">
        <x:v>상처와 C 인식표를 안고 첫 출격으로 넘어가는 회차 훅</x:v>
      </x:c>
      <x:c r="T280" s="16" t="str">
        <x:v>침묵한 반응의 이유를 후발 정보로 다시 읽음 / 시그니처 상징의 기원 / 카인의 반보가 습관이 아니라 선택으로 읽힘</x:v>
      </x:c>
      <x:c r="U280" s="16" t="str">
        <x:v>거리 / 보호 / 선택</x:v>
      </x:c>
      <x:c r="V280" s="16" t="str">
        <x:v>출격문·미션 시작·상처 유지·다음 지역 로딩</x:v>
      </x:c>
      <x:c r="W280" s="16" t="str">
        <x:v>EXTERNAL + MAIN SYMBOL: 카인의 반보</x:v>
      </x:c>
      <x:c r="X280" s="22" t="str">
        <x:v>EXPANSION</x:v>
      </x:c>
      <x:c r="Y280" s="16" t="str">
        <x:v>대사 금지 또는 응답 없는 침묵 유지 / 카인 반보 뒤 / 두 사람 발 프레임 포함 / GLOBAL-VIS-01</x:v>
      </x:c>
      <x:c r="Z280" s="22" t="str">
        <x:v>SOURCE</x:v>
      </x:c>
      <x:c r="AA280" s="22"/>
      <x:c r="AB280" s="16"/>
      <x:c r="AC280" s="16" t="str">
        <x:v>EP01_대본_전량_001-282(2).md</x:v>
      </x:c>
      <x:c r="AD280" s="22" t="n">
        <x:v>3277</x:v>
      </x:c>
      <x:c r="AE280" s="139" t="str">
        <x:v>PRIVATE_TRUTH</x:v>
      </x:c>
      <x:c r="AF280" s="139" t="str">
        <x:v>OPTIONAL_EXTENSION</x:v>
      </x:c>
    </x:row>
    <x:row r="281" ht="72" customHeight="1">
      <x:c r="A281" s="24" t="str">
        <x:v>280</x:v>
      </x:c>
      <x:c r="B281" s="26" t="str">
        <x:v>B280-280</x:v>
      </x:c>
      <x:c r="C281" s="22" t="n">
        <x:v>1</x:v>
      </x:c>
      <x:c r="D281" s="22" t="str">
        <x:v>1/1</x:v>
      </x:c>
      <x:c r="E281" s="26" t="str">
        <x:v>EP01-S16</x:v>
      </x:c>
      <x:c r="F281" s="20" t="str">
        <x:v>15절 출격</x:v>
      </x:c>
      <x:c r="G281" s="20" t="str">
        <x:v>ECU</x:v>
      </x:c>
      <x:c r="H281" s="22" t="str">
        <x:v>🤫</x:v>
      </x:c>
      <x:c r="I281" s="24" t="str">
        <x:v>08-1-2</x:v>
      </x:c>
      <x:c r="J281" s="20" t="str">
        <x:v>출격문 근접판</x:v>
      </x:c>
      <x:c r="K281" s="16" t="str">
        <x:v>목에 걸린 인식표 두 개가 걸음마다 부딪혀 짤랑거린다</x:v>
      </x:c>
      <x:c r="L281" s="16" t="str">
        <x:v>목에 걸린 인식표 두 개가 걸음마다 부딪혀 짤랑거린다</x:v>
      </x:c>
      <x:c r="M281" s="16" t="str"/>
      <x:c r="N281" s="16" t="str">
        <x:v>짤랑</x:v>
      </x:c>
      <x:c r="O281" s="16" t="str">
        <x:v>380px · 여백 좁</x:v>
      </x:c>
      <x:c r="P281" s="16" t="str">
        <x:v>Two metal tags on chains knocking together with each step.</x:v>
      </x:c>
      <x:c r="Q281" s="16" t="str">
        <x:v>SORTIE_CLIFFHANGER</x:v>
      </x:c>
      <x:c r="R281" s="16" t="str">
        <x:v>SILENT_ACTING</x:v>
      </x:c>
      <x:c r="S281" s="16" t="str">
        <x:v>상처와 C 인식표를 안고 첫 출격으로 넘어가는 회차 훅</x:v>
      </x:c>
      <x:c r="T281" s="16" t="str">
        <x:v>침묵한 반응의 이유를 후발 정보로 다시 읽음</x:v>
      </x:c>
      <x:c r="U281" s="16" t="str">
        <x:v>거리 / 보호 / 선택 / 등급</x:v>
      </x:c>
      <x:c r="V281" s="16" t="str">
        <x:v>출격문·미션 시작·상처 유지·다음 지역 로딩</x:v>
      </x:c>
      <x:c r="W281" s="16"/>
      <x:c r="X281" s="22" t="str">
        <x:v>NONE</x:v>
      </x:c>
      <x:c r="Y281" s="16" t="str">
        <x:v>대사 금지 또는 응답 없는 침묵 유지 / GLOBAL-VIS-01</x:v>
      </x:c>
      <x:c r="Z281" s="22" t="str">
        <x:v>SOURCE</x:v>
      </x:c>
      <x:c r="AA281" s="22"/>
      <x:c r="AB281" s="16"/>
      <x:c r="AC281" s="16" t="str">
        <x:v>EP01_대본_전량_001-282(2).md</x:v>
      </x:c>
      <x:c r="AD281" s="22" t="n">
        <x:v>3289</x:v>
      </x:c>
      <x:c r="AE281" s="139" t="str">
        <x:v>NOT_APPLICABLE</x:v>
      </x:c>
      <x:c r="AF281" s="139" t="str">
        <x:v>NONE</x:v>
      </x:c>
    </x:row>
    <x:row r="282" ht="72" customHeight="1">
      <x:c r="A282" s="24" t="str">
        <x:v>281</x:v>
      </x:c>
      <x:c r="B282" s="26" t="str">
        <x:v>B281-281</x:v>
      </x:c>
      <x:c r="C282" s="22" t="n">
        <x:v>1</x:v>
      </x:c>
      <x:c r="D282" s="22" t="str">
        <x:v>1/1</x:v>
      </x:c>
      <x:c r="E282" s="26" t="str">
        <x:v>EP01-S16</x:v>
      </x:c>
      <x:c r="F282" s="20" t="str">
        <x:v>15절 출격</x:v>
      </x:c>
      <x:c r="G282" s="20" t="str">
        <x:v>ECU</x:v>
      </x:c>
      <x:c r="H282" s="22" t="str">
        <x:v>⭐</x:v>
      </x:c>
      <x:c r="I282" s="24" t="str">
        <x:v>08-1-2</x:v>
      </x:c>
      <x:c r="J282" s="20" t="str">
        <x:v>출격문 근접판</x:v>
      </x:c>
      <x:c r="K282" s="16" t="str">
        <x:v>갓 눌러 박은 글자. C · C</x:v>
      </x:c>
      <x:c r="L282" s="16" t="str">
        <x:v>갓 눌러 박은 글자. C · C</x:v>
      </x:c>
      <x:c r="M282" s="16" t="str"/>
      <x:c r="N282" s="16" t="str"/>
      <x:c r="O282" s="16" t="str">
        <x:v>400px · 여백 넓</x:v>
      </x:c>
      <x:c r="P282" s="16" t="str">
        <x:v>Extreme close on two freshly stamped tags. Each reads a single letter C.</x:v>
      </x:c>
      <x:c r="Q282" s="16" t="str">
        <x:v>SORTIE_CLIFFHANGER</x:v>
      </x:c>
      <x:c r="R282" s="16" t="str">
        <x:v>SIGNATURE</x:v>
      </x:c>
      <x:c r="S282" s="16" t="str">
        <x:v>상처와 C 인식표를 안고 첫 출격으로 넘어가는 회차 훅</x:v>
      </x:c>
      <x:c r="T282" s="16" t="str">
        <x:v>시그니처 상징의 기원</x:v>
      </x:c>
      <x:c r="U282" s="16" t="str">
        <x:v>출격 / 책임 / 다음 거리</x:v>
      </x:c>
      <x:c r="V282" s="16" t="str">
        <x:v>출격문·미션 시작·상처 유지·다음 지역 로딩</x:v>
      </x:c>
      <x:c r="W282" s="16" t="str">
        <x:v>PAYOFF: EP23·EP28: 등급이 세는 것의 진실</x:v>
      </x:c>
      <x:c r="X282" s="22" t="str">
        <x:v>PAYOFF</x:v>
      </x:c>
      <x:c r="Y282" s="16" t="str">
        <x:v>GLOBAL-VIS-01</x:v>
      </x:c>
      <x:c r="Z282" s="22" t="str">
        <x:v>SOURCE</x:v>
      </x:c>
      <x:c r="AA282" s="22"/>
      <x:c r="AB282" s="16"/>
      <x:c r="AC282" s="16" t="str">
        <x:v>EP01_대본_전량_001-282(2).md</x:v>
      </x:c>
      <x:c r="AD282" s="22" t="n">
        <x:v>3302</x:v>
      </x:c>
      <x:c r="AE282" s="139" t="str">
        <x:v>PUBLIC_CANON</x:v>
      </x:c>
      <x:c r="AF282" s="139" t="str">
        <x:v>CONTRACT</x:v>
      </x:c>
    </x:row>
    <x:row r="283" ht="72" customHeight="1">
      <x:c r="A283" s="24" t="str">
        <x:v>282</x:v>
      </x:c>
      <x:c r="B283" s="26" t="str">
        <x:v>B282-282</x:v>
      </x:c>
      <x:c r="C283" s="22" t="n">
        <x:v>1</x:v>
      </x:c>
      <x:c r="D283" s="22" t="str">
        <x:v>1/1</x:v>
      </x:c>
      <x:c r="E283" s="26" t="str">
        <x:v>EP01-S16</x:v>
      </x:c>
      <x:c r="F283" s="20" t="str">
        <x:v>15절 출격</x:v>
      </x:c>
      <x:c r="G283" s="20" t="str">
        <x:v>EWIDE 극세로 블리드</x:v>
      </x:c>
      <x:c r="H283" s="22" t="str">
        <x:v>🎭</x:v>
      </x:c>
      <x:c r="I283" s="24" t="str">
        <x:v>08-1-1</x:v>
      </x:c>
      <x:c r="J283" s="20" t="str">
        <x:v>문 너머</x:v>
      </x:c>
      <x:c r="K283" s="16" t="str">
        <x:v>안개가 두 사람을 삼킨다</x:v>
      </x:c>
      <x:c r="L283" s="16" t="str">
        <x:v>안개가 두 사람을 삼킨다</x:v>
      </x:c>
      <x:c r="M283" s="16" t="str">
        <x:v>나레이션: 그것이 무엇을 세고 있는 숫자인지, 두 사람은 아직 알지 못했다.</x:v>
      </x:c>
      <x:c r="N283" s="16" t="str"/>
      <x:c r="O283" s="16" t="str">
        <x:v>1,500px · 여백 극</x:v>
      </x:c>
      <x:c r="P283" s="16" t="str">
        <x:v>Red fog swallowing two small figures. No city lights anywhere.</x:v>
      </x:c>
      <x:c r="Q283" s="16" t="str">
        <x:v>SORTIE_CLIFFHANGER</x:v>
      </x:c>
      <x:c r="R283" s="16" t="str">
        <x:v>HUMAN_BEAT</x:v>
      </x:c>
      <x:c r="S283" s="16" t="str">
        <x:v>상처와 C 인식표를 안고 첫 출격으로 넘어가는 회차 훅</x:v>
      </x:c>
      <x:c r="T283" s="16" t="str">
        <x:v>후속 정보가 생기면 행동·배경의 의미를 재검토</x:v>
      </x:c>
      <x:c r="U283" s="16" t="str">
        <x:v>출격 / 책임 / 다음 거리</x:v>
      </x:c>
      <x:c r="V283" s="16" t="str">
        <x:v>출격문·미션 시작·상처 유지·다음 지역 로딩</x:v>
      </x:c>
      <x:c r="W283" s="16" t="str">
        <x:v>PAYOFF: EP23·EP28: 등급이 세는 것의 진실</x:v>
      </x:c>
      <x:c r="X283" s="22" t="str">
        <x:v>PAYOFF</x:v>
      </x:c>
      <x:c r="Y283" s="16" t="str">
        <x:v>GLOBAL-VIS-01</x:v>
      </x:c>
      <x:c r="Z283" s="22" t="str">
        <x:v>SOURCE</x:v>
      </x:c>
      <x:c r="AA283" s="22"/>
      <x:c r="AB283" s="16"/>
      <x:c r="AC283" s="16" t="str">
        <x:v>EP01_대본_전량_001-282(2).md</x:v>
      </x:c>
      <x:c r="AD283" s="22" t="n">
        <x:v>3314</x:v>
      </x:c>
      <x:c r="AE283" s="139" t="str">
        <x:v>PUBLIC_CANON</x:v>
      </x:c>
      <x:c r="AF283" s="139" t="str">
        <x:v>CONTRACT</x:v>
      </x:c>
    </x:row>
  </x:sheetData>
  <x:conditionalFormatting sqref="AA2:AA283">
    <x:cfRule type="cellIs" dxfId="0" priority="1">
      <x:formula>"REVIEW"</x:formula>
    </x:cfRule>
  </x:conditionalFormatting>
  <x:conditionalFormatting sqref="Z2:Z283">
    <x:cfRule type="cellIs" dxfId="5" priority="6">
      <x:formula>"EDITORIAL_REVIEW"</x:formula>
    </x:cfRule>
  </x:conditionalFormatting>
  <x:conditionalFormatting sqref="X2:X283">
    <x:cfRule type="expression" dxfId="8" priority="7">
      <x:formula>X2="PAYOFF"</x:formula>
    </x:cfRule>
    <x:cfRule type="expression" dxfId="9" priority="8">
      <x:formula>X2="REFRAME"</x:formula>
    </x:cfRule>
    <x:cfRule type="expression" dxfId="10" priority="9">
      <x:formula>X2="OPEN"</x:formula>
    </x:cfRule>
    <x:cfRule type="expression" dxfId="11" priority="10">
      <x:formula>X2="EXPANSION"</x:formula>
    </x:cfRule>
    <x:cfRule type="expression" dxfId="12" priority="11">
      <x:formula>X2="NONE"</x:formula>
    </x:cfRule>
  </x:conditionalFormatting>
  <x:dataValidations count="5">
    <x:dataValidation type="list" sqref="X2:X283">
      <x:formula1>"PAYOFF,REFRAME,OPEN,EXPANSION,NONE"</x:formula1>
    </x:dataValidation>
    <x:dataValidation type="list" sqref="AA2:AA283">
      <x:formula1>",REVIEW,LOCKED"</x:formula1>
    </x:dataValidation>
    <x:dataValidation type="list" sqref="Q2:Q283">
      <x:formula1>"ARCHIVE_FORESHADOW,BOSS_REVEAL,CHARACTER_MEMORY_BRIDGE,CHARACTER_WEAPON_INTRO,CRAFT_DEBT,ECONOMIC_MOTIVE,GUARD_COUNTER,HUB_LIFE,HUB_QUEST,HUMAN_CONSEQUENCE,LOSS_LEDGER,PART_BREAK,RANGE_FAILURE,RANK_ENTRY,RANK_SYSTEM,RELATION_INTRO,ROUTINE_SYSTEM,SORTIE_CLIFFHANGER,TRAUMA_MEMORY,TUTORIAL_SETUP,WEAPON_LANGUAGE,WORLD_ATMOSPHERE,WORLD_RULE"</x:formula1>
    </x:dataValidation>
    <x:dataValidation type="list" sqref="AE2:AE283">
      <x:formula1>"PUBLIC_CANON,PRIVATE_TRUTH,INDETERMINATE,NOT_APPLICABLE"</x:formula1>
    </x:dataValidation>
    <x:dataValidation type="list" sqref="AF2:AF283">
      <x:formula1>"CONTRACT,REFRAME_PROMISE,OPTIONAL_EXTENSION,NO_ANSWER_PROMISE,NONE"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37d1aeb7894af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8" hidden="0" customWidth="1"/>
    <x:col min="5" max="5" width="11" hidden="0" customWidth="1"/>
    <x:col min="6" max="6" width="20" hidden="0" customWidth="1"/>
    <x:col min="7" max="7" width="24" hidden="0" customWidth="1"/>
    <x:col min="8" max="8" width="12" hidden="0" customWidth="1"/>
    <x:col min="9" max="9" width="12" hidden="0" customWidth="1"/>
    <x:col min="10" max="10" width="18" hidden="0" customWidth="1"/>
    <x:col min="11" max="11" width="42" hidden="0" customWidth="1"/>
    <x:col min="12" max="12" width="40" hidden="0" customWidth="1"/>
    <x:col min="13" max="13" width="14" hidden="0" customWidth="1"/>
    <x:col min="14" max="14" width="18" hidden="0" customWidth="1"/>
    <x:col min="15" max="15" width="46" hidden="0" customWidth="1"/>
    <x:col min="16" max="16" width="12" hidden="0" customWidth="1"/>
    <x:col min="17" max="17" width="20" hidden="0" customWidth="1"/>
  </x:cols>
  <x:sheetData>
    <x:row r="1" ht="42" customHeight="1">
      <x:c r="A1" s="30" t="str">
        <x:v>BLOCK_ID</x:v>
      </x:c>
      <x:c r="B1" s="30" t="str">
        <x:v>START_CUT</x:v>
      </x:c>
      <x:c r="C1" s="30" t="str">
        <x:v>END_CUT</x:v>
      </x:c>
      <x:c r="D1" s="30" t="str">
        <x:v>SPAN</x:v>
      </x:c>
      <x:c r="E1" s="30" t="str">
        <x:v>SCENE_ID</x:v>
      </x:c>
      <x:c r="F1" s="30" t="str">
        <x:v>SOURCE_SECTION</x:v>
      </x:c>
      <x:c r="G1" s="30" t="str">
        <x:v>SHOT_LAYOUT</x:v>
      </x:c>
      <x:c r="H1" s="30" t="str">
        <x:v>SOURCE_FLAGS</x:v>
      </x:c>
      <x:c r="I1" s="30" t="str">
        <x:v>BACKGROUND_ID</x:v>
      </x:c>
      <x:c r="J1" s="30" t="str">
        <x:v>BACKGROUND_NAME</x:v>
      </x:c>
      <x:c r="K1" s="30" t="str">
        <x:v>SCREEN_SOURCE</x:v>
      </x:c>
      <x:c r="L1" s="30" t="str">
        <x:v>DIALOGUE_NARRATION</x:v>
      </x:c>
      <x:c r="M1" s="30" t="str">
        <x:v>SFX</x:v>
      </x:c>
      <x:c r="N1" s="30" t="str">
        <x:v>COMPOSITION</x:v>
      </x:c>
      <x:c r="O1" s="30" t="str">
        <x:v>IMAGE_PROMPT</x:v>
      </x:c>
      <x:c r="P1" s="30" t="str">
        <x:v>SOURCE_LINE</x:v>
      </x:c>
      <x:c r="Q1" s="30" t="str">
        <x:v>SPLIT_STATUS</x:v>
      </x:c>
    </x:row>
    <x:row r="2" ht="66" customHeight="1">
      <x:c r="A2" s="16" t="str">
        <x:v>B001-001</x:v>
      </x:c>
      <x:c r="B2" s="16" t="str">
        <x:v>001</x:v>
      </x:c>
      <x:c r="C2" s="16" t="str">
        <x:v>001</x:v>
      </x:c>
      <x:c r="D2" s="16" t="n">
        <x:v>1</x:v>
      </x:c>
      <x:c r="E2" s="16" t="str">
        <x:v>EP01-S00</x:v>
      </x:c>
      <x:c r="F2" s="16" t="str">
        <x:v>0절 남은 문서</x:v>
      </x:c>
      <x:c r="G2" s="16" t="str">
        <x:v>문서</x:v>
      </x:c>
      <x:c r="H2" s="16" t="str"/>
      <x:c r="I2" s="16" t="str">
        <x:v>—</x:v>
      </x:c>
      <x:c r="J2" s="16" t="str">
        <x:v>배경 없음</x:v>
      </x:c>
      <x:c r="K2" s="16" t="str">
        <x:v>국방부 상황보고 제3보. 4항까지. 종이 질감, 접힌 자국</x:v>
      </x:c>
      <x:c r="L2" s="16" t="str"/>
      <x:c r="M2" s="16" t="str"/>
      <x:c r="N2" s="16" t="str">
        <x:v>560px · 여백 넓</x:v>
      </x:c>
      <x:c r="O2" s="16" t="str">
        <x:v>A weathered official document page in Korean, folded creases, aged paper. Text block layout. No figures.</x:v>
      </x:c>
      <x:c r="P2" s="16" t="n">
        <x:v>49</x:v>
      </x:c>
      <x:c r="Q2" s="16" t="str">
        <x:v>SOURCE</x:v>
      </x:c>
    </x:row>
    <x:row r="3" ht="66" customHeight="1">
      <x:c r="A3" s="16" t="str">
        <x:v>B002-002</x:v>
      </x:c>
      <x:c r="B3" s="16" t="str">
        <x:v>002</x:v>
      </x:c>
      <x:c r="C3" s="16" t="str">
        <x:v>002</x:v>
      </x:c>
      <x:c r="D3" s="16" t="n">
        <x:v>1</x:v>
      </x:c>
      <x:c r="E3" s="16" t="str">
        <x:v>EP01-S00</x:v>
      </x:c>
      <x:c r="F3" s="16" t="str">
        <x:v>0절 남은 문서</x:v>
      </x:c>
      <x:c r="G3" s="16" t="str">
        <x:v>문서</x:v>
      </x:c>
      <x:c r="H3" s="16" t="str"/>
      <x:c r="I3" s="16" t="str">
        <x:v>—</x:v>
      </x:c>
      <x:c r="J3" s="16" t="str">
        <x:v>배경 없음</x:v>
      </x:c>
      <x:c r="K3" s="16" t="str">
        <x:v>「소화기 사용 관련」 공문. 2항 중간에서 끊긴다</x:v>
      </x:c>
      <x:c r="L3" s="16" t="str"/>
      <x:c r="M3" s="16" t="str"/>
      <x:c r="N3" s="16" t="str">
        <x:v>560px · 여백 넓</x:v>
      </x:c>
      <x:c r="O3" s="16" t="str">
        <x:v>A second official document, cut off mid-sentence at the bottom. Aged paper.</x:v>
      </x:c>
      <x:c r="P3" s="16" t="n">
        <x:v>61</x:v>
      </x:c>
      <x:c r="Q3" s="16" t="str">
        <x:v>SOURCE</x:v>
      </x:c>
    </x:row>
    <x:row r="4" ht="66" customHeight="1">
      <x:c r="A4" s="16" t="str">
        <x:v>B003-003</x:v>
      </x:c>
      <x:c r="B4" s="16" t="str">
        <x:v>003</x:v>
      </x:c>
      <x:c r="C4" s="16" t="str">
        <x:v>003</x:v>
      </x:c>
      <x:c r="D4" s="16" t="n">
        <x:v>1</x:v>
      </x:c>
      <x:c r="E4" s="16" t="str">
        <x:v>EP01-S00</x:v>
      </x:c>
      <x:c r="F4" s="16" t="str">
        <x:v>0절 남은 문서</x:v>
      </x:c>
      <x:c r="G4" s="16" t="str">
        <x:v>문서</x:v>
      </x:c>
      <x:c r="H4" s="16" t="str">
        <x:v>⭐</x:v>
      </x:c>
      <x:c r="I4" s="16" t="str">
        <x:v>—</x:v>
      </x:c>
      <x:c r="J4" s="16" t="str">
        <x:v>배경 없음</x:v>
      </x:c>
      <x:c r="K4" s="16" t="str">
        <x:v>손글씨 「탄약 안 아껴도 됨 / 어차피 안 죽음」. 종이 귀퉁이가 찢겨 있다</x:v>
      </x:c>
      <x:c r="L4" s="16" t="str"/>
      <x:c r="M4" s="16" t="str"/>
      <x:c r="N4" s="16" t="str">
        <x:v>560px · 여백 극</x:v>
      </x:c>
      <x:c r="O4" s="16" t="str">
        <x:v>Handwritten Korean note on aged paper. The bottom right corner is torn away. Tired handwriting, not a joke.</x:v>
      </x:c>
      <x:c r="P4" s="16" t="n">
        <x:v>73</x:v>
      </x:c>
      <x:c r="Q4" s="16" t="str">
        <x:v>SOURCE</x:v>
      </x:c>
    </x:row>
    <x:row r="5" ht="66" customHeight="1">
      <x:c r="A5" s="16" t="str">
        <x:v>B004-004</x:v>
      </x:c>
      <x:c r="B5" s="16" t="str">
        <x:v>004</x:v>
      </x:c>
      <x:c r="C5" s="16" t="str">
        <x:v>004</x:v>
      </x:c>
      <x:c r="D5" s="16" t="n">
        <x:v>1</x:v>
      </x:c>
      <x:c r="E5" s="16" t="str">
        <x:v>EP01-S01</x:v>
      </x:c>
      <x:c r="F5" s="16" t="str">
        <x:v>1절 옥상</x:v>
      </x:c>
      <x:c r="G5" s="16" t="str">
        <x:v>EWIDE 하이앵글 블리드</x:v>
      </x:c>
      <x:c r="H5" s="16" t="str"/>
      <x:c r="I5" s="16" t="str">
        <x:v>01-1</x:v>
      </x:c>
      <x:c r="J5" s="16" t="str">
        <x:v>옥상 광각</x:v>
      </x:c>
      <x:c r="K5" s="16" t="str">
        <x:v>보라와 핏빛 하늘. 무릎 높이 붉은 안개. 원경 오른쪽 반파된 남산타워</x:v>
      </x:c>
      <x:c r="L5" s="16" t="str"/>
      <x:c r="M5" s="16" t="str">
        <x:v>웅… 웅…</x:v>
      </x:c>
      <x:c r="N5" s="16" t="str">
        <x:v>1,500px · 여백 중</x:v>
      </x:c>
      <x:c r="O5" s="16" t="str">
        <x:v>Wide high angle over a ruined city at violet twilight. Knee high red fog over the rooftops. A half collapsed tower in the right distance. No lit windows.</x:v>
      </x:c>
      <x:c r="P5" s="16" t="n">
        <x:v>91</x:v>
      </x:c>
      <x:c r="Q5" s="16" t="str">
        <x:v>SOURCE</x:v>
      </x:c>
    </x:row>
    <x:row r="6" ht="66" customHeight="1">
      <x:c r="A6" s="16" t="str">
        <x:v>B005-005</x:v>
      </x:c>
      <x:c r="B6" s="16" t="str">
        <x:v>005</x:v>
      </x:c>
      <x:c r="C6" s="16" t="str">
        <x:v>005</x:v>
      </x:c>
      <x:c r="D6" s="16" t="n">
        <x:v>1</x:v>
      </x:c>
      <x:c r="E6" s="16" t="str">
        <x:v>EP01-S01</x:v>
      </x:c>
      <x:c r="F6" s="16" t="str">
        <x:v>1절 옥상</x:v>
      </x:c>
      <x:c r="G6" s="16" t="str">
        <x:v>WIDE</x:v>
      </x:c>
      <x:c r="H6" s="16" t="str"/>
      <x:c r="I6" s="16" t="str">
        <x:v>01-1-1</x:v>
      </x:c>
      <x:c r="J6" s="16" t="str">
        <x:v>하늘 세로</x:v>
      </x:c>
      <x:c r="K6" s="16" t="str">
        <x:v>하늘만. 나노 입자가 빛을 굴절시키는 층이 눈에 보인다</x:v>
      </x:c>
      <x:c r="L6" s="16" t="str">
        <x:v>나레이션: 하늘이 앓고 있었다.</x:v>
      </x:c>
      <x:c r="M6" s="16" t="str"/>
      <x:c r="N6" s="16" t="str">
        <x:v>430px · 여백 좁</x:v>
      </x:c>
      <x:c r="O6" s="16" t="str">
        <x:v>Only sky. Violet and crimson clouds with a visible refraction layer bending the light.</x:v>
      </x:c>
      <x:c r="P6" s="16" t="n">
        <x:v>104</x:v>
      </x:c>
      <x:c r="Q6" s="16" t="str">
        <x:v>SOURCE</x:v>
      </x:c>
    </x:row>
    <x:row r="7" ht="66" customHeight="1">
      <x:c r="A7" s="16" t="str">
        <x:v>B006-006</x:v>
      </x:c>
      <x:c r="B7" s="16" t="str">
        <x:v>006</x:v>
      </x:c>
      <x:c r="C7" s="16" t="str">
        <x:v>006</x:v>
      </x:c>
      <x:c r="D7" s="16" t="n">
        <x:v>1</x:v>
      </x:c>
      <x:c r="E7" s="16" t="str">
        <x:v>EP01-S01</x:v>
      </x:c>
      <x:c r="F7" s="16" t="str">
        <x:v>1절 옥상</x:v>
      </x:c>
      <x:c r="G7" s="16" t="str">
        <x:v>부감</x:v>
      </x:c>
      <x:c r="H7" s="16" t="str"/>
      <x:c r="I7" s="16" t="str">
        <x:v>01-1</x:v>
      </x:c>
      <x:c r="J7" s="16" t="str">
        <x:v>옥상 광각</x:v>
      </x:c>
      <x:c r="K7" s="16" t="str">
        <x:v>무너진 고가도로, 뒤집힌 시내버스. 덩굴처럼 뻗은 나노 결정</x:v>
      </x:c>
      <x:c r="L7" s="16" t="str">
        <x:v>나레이션: 서울의 하늘은 2년째 파랗지 않았다.</x:v>
      </x:c>
      <x:c r="M7" s="16" t="str"/>
      <x:c r="N7" s="16" t="str">
        <x:v>400px · 여백 좁</x:v>
      </x:c>
      <x:c r="O7" s="16" t="str">
        <x:v>A collapsed overpass and an overturned city bus below. Nano crystals creeping like vines.</x:v>
      </x:c>
      <x:c r="P7" s="16" t="n">
        <x:v>117</x:v>
      </x:c>
      <x:c r="Q7" s="16" t="str">
        <x:v>SOURCE</x:v>
      </x:c>
    </x:row>
    <x:row r="8" ht="66" customHeight="1">
      <x:c r="A8" s="16" t="str">
        <x:v>B007-007</x:v>
      </x:c>
      <x:c r="B8" s="16" t="str">
        <x:v>007</x:v>
      </x:c>
      <x:c r="C8" s="16" t="str">
        <x:v>007</x:v>
      </x:c>
      <x:c r="D8" s="16" t="n">
        <x:v>1</x:v>
      </x:c>
      <x:c r="E8" s="16" t="str">
        <x:v>EP01-S01</x:v>
      </x:c>
      <x:c r="F8" s="16" t="str">
        <x:v>1절 옥상</x:v>
      </x:c>
      <x:c r="G8" s="16" t="str">
        <x:v>CU</x:v>
      </x:c>
      <x:c r="H8" s="16" t="str"/>
      <x:c r="I8" s="16" t="str">
        <x:v>01-1</x:v>
      </x:c>
      <x:c r="J8" s="16" t="str">
        <x:v>옥상 광각</x:v>
      </x:c>
      <x:c r="K8" s="16" t="str">
        <x:v>글리치가 이는 간판 「대피소 →」. 화살표 방향에는 잔해뿐</x:v>
      </x:c>
      <x:c r="L8" s="16" t="str"/>
      <x:c r="M8" s="16" t="str">
        <x:v>치지직—</x:v>
      </x:c>
      <x:c r="N8" s="16" t="str">
        <x:v>400px · 여백 넓</x:v>
      </x:c>
      <x:c r="O8" s="16" t="str">
        <x:v>A glitching sign with a Korean word and an arrow. Beyond the arrow, only rubble. The sign is not lit, only residual glitch.</x:v>
      </x:c>
      <x:c r="P8" s="16" t="n">
        <x:v>130</x:v>
      </x:c>
      <x:c r="Q8" s="16" t="str">
        <x:v>SOURCE</x:v>
      </x:c>
    </x:row>
    <x:row r="9" ht="66" customHeight="1">
      <x:c r="A9" s="16" t="str">
        <x:v>B008-008</x:v>
      </x:c>
      <x:c r="B9" s="16" t="str">
        <x:v>008</x:v>
      </x:c>
      <x:c r="C9" s="16" t="str">
        <x:v>008</x:v>
      </x:c>
      <x:c r="D9" s="16" t="n">
        <x:v>1</x:v>
      </x:c>
      <x:c r="E9" s="16" t="str">
        <x:v>EP01-S01</x:v>
      </x:c>
      <x:c r="F9" s="16" t="str">
        <x:v>1절 옥상</x:v>
      </x:c>
      <x:c r="G9" s="16" t="str">
        <x:v>LONG</x:v>
      </x:c>
      <x:c r="H9" s="16" t="str"/>
      <x:c r="I9" s="16" t="str">
        <x:v>01-1</x:v>
      </x:c>
      <x:c r="J9" s="16" t="str">
        <x:v>옥상 광각</x:v>
      </x:c>
      <x:c r="K9" s="16" t="str">
        <x:v>옥상 가장자리. 인물이 아주 작다. 등을 돌린 아인, 낫을 대각선으로 걸침</x:v>
      </x:c>
      <x:c r="L9" s="16" t="str">
        <x:v>나레이션: 사람들은 이 색에 이름을 붙이지 않았다. / 그냥 황혼이라고 불렀다.</x:v>
      </x:c>
      <x:c r="M9" s="16" t="str"/>
      <x:c r="N9" s="16" t="str">
        <x:v>560px · 여백 중</x:v>
      </x:c>
      <x:c r="O9" s="16" t="str">
        <x:v>A small figure at the edge of a rooftop, seen from behind, a long scythe held diagonally across her back.</x:v>
      </x:c>
      <x:c r="P9" s="16" t="n">
        <x:v>143</x:v>
      </x:c>
      <x:c r="Q9" s="16" t="str">
        <x:v>SOURCE</x:v>
      </x:c>
    </x:row>
    <x:row r="10" ht="66" customHeight="1">
      <x:c r="A10" s="16" t="str">
        <x:v>B009-009</x:v>
      </x:c>
      <x:c r="B10" s="16" t="str">
        <x:v>009</x:v>
      </x:c>
      <x:c r="C10" s="16" t="str">
        <x:v>009</x:v>
      </x:c>
      <x:c r="D10" s="16" t="n">
        <x:v>1</x:v>
      </x:c>
      <x:c r="E10" s="16" t="str">
        <x:v>EP01-S01</x:v>
      </x:c>
      <x:c r="F10" s="16" t="str">
        <x:v>1절 옥상</x:v>
      </x:c>
      <x:c r="G10" s="16" t="str">
        <x:v>MS 측면</x:v>
      </x:c>
      <x:c r="H10" s="16" t="str"/>
      <x:c r="I10" s="16" t="str">
        <x:v>01-1-3</x:v>
      </x:c>
      <x:c r="J10" s="16" t="str">
        <x:v>옥상 근접판</x:v>
      </x:c>
      <x:c r="K10" s="16" t="str">
        <x:v>검은 웨이브 단발이 바람에. 깎여 있는 눈매</x:v>
      </x:c>
      <x:c r="L10" s="16" t="str"/>
      <x:c r="M10" s="16" t="str"/>
      <x:c r="N10" s="16" t="str">
        <x:v>470px · 여백 좁</x:v>
      </x:c>
      <x:c r="O10" s="16" t="str">
        <x:v>Side view, bust to waist. Short choppy black hair moving in the wind. Sharp narrow eyes.</x:v>
      </x:c>
      <x:c r="P10" s="16" t="n">
        <x:v>156</x:v>
      </x:c>
      <x:c r="Q10" s="16" t="str">
        <x:v>SOURCE</x:v>
      </x:c>
    </x:row>
    <x:row r="11" ht="66" customHeight="1">
      <x:c r="A11" s="16" t="str">
        <x:v>B010-010</x:v>
      </x:c>
      <x:c r="B11" s="16" t="str">
        <x:v>010</x:v>
      </x:c>
      <x:c r="C11" s="16" t="str">
        <x:v>010</x:v>
      </x:c>
      <x:c r="D11" s="16" t="n">
        <x:v>1</x:v>
      </x:c>
      <x:c r="E11" s="16" t="str">
        <x:v>EP01-S01</x:v>
      </x:c>
      <x:c r="F11" s="16" t="str">
        <x:v>1절 옥상</x:v>
      </x:c>
      <x:c r="G11" s="16" t="str">
        <x:v>ECU</x:v>
      </x:c>
      <x:c r="H11" s="16" t="str"/>
      <x:c r="I11" s="16" t="str">
        <x:v>01-1-3</x:v>
      </x:c>
      <x:c r="J11" s="16" t="str">
        <x:v>옥상 근접판</x:v>
      </x:c>
      <x:c r="K11" s="16" t="str">
        <x:v>오른뺨. 피가 사흘 된 것으로 보이게. 씻은 흔적 없음</x:v>
      </x:c>
      <x:c r="L11" s="16" t="str"/>
      <x:c r="M11" s="16" t="str"/>
      <x:c r="N11" s="16" t="str">
        <x:v>400px · 여백 좁</x:v>
      </x:c>
      <x:c r="O11" s="16" t="str">
        <x:v>Extreme close on a right cheek with dried blood, three days old, never washed off.</x:v>
      </x:c>
      <x:c r="P11" s="16" t="n">
        <x:v>168</x:v>
      </x:c>
      <x:c r="Q11" s="16" t="str">
        <x:v>SOURCE</x:v>
      </x:c>
    </x:row>
    <x:row r="12" ht="66" customHeight="1">
      <x:c r="A12" s="16" t="str">
        <x:v>B011-011</x:v>
      </x:c>
      <x:c r="B12" s="16" t="str">
        <x:v>011</x:v>
      </x:c>
      <x:c r="C12" s="16" t="str">
        <x:v>011</x:v>
      </x:c>
      <x:c r="D12" s="16" t="n">
        <x:v>1</x:v>
      </x:c>
      <x:c r="E12" s="16" t="str">
        <x:v>EP01-S01</x:v>
      </x:c>
      <x:c r="F12" s="16" t="str">
        <x:v>1절 옥상</x:v>
      </x:c>
      <x:c r="G12" s="16" t="str">
        <x:v>ECU</x:v>
      </x:c>
      <x:c r="H12" s="16" t="str"/>
      <x:c r="I12" s="16" t="str">
        <x:v>01-1-3</x:v>
      </x:c>
      <x:c r="J12" s="16" t="str">
        <x:v>옥상 근접판</x:v>
      </x:c>
      <x:c r="K12" s="16" t="str">
        <x:v>목덜미→등판. 옷 위로 비치는 선. 살을 뚫고 나온 주황 코어</x:v>
      </x:c>
      <x:c r="L12" s="16" t="str"/>
      <x:c r="M12" s="16" t="str">
        <x:v>지— 직</x:v>
      </x:c>
      <x:c r="N12" s="16" t="str">
        <x:v>430px · 여백 중</x:v>
      </x:c>
      <x:c r="O12" s="16" t="str">
        <x:v>Extreme close on a nape and upper back. An amber crystal core protruding through the skin, its glow showing through fabric.</x:v>
      </x:c>
      <x:c r="P12" s="16" t="n">
        <x:v>180</x:v>
      </x:c>
      <x:c r="Q12" s="16" t="str">
        <x:v>SOURCE</x:v>
      </x:c>
    </x:row>
    <x:row r="13" ht="66" customHeight="1">
      <x:c r="A13" s="16" t="str">
        <x:v>B012-012</x:v>
      </x:c>
      <x:c r="B13" s="16" t="str">
        <x:v>012</x:v>
      </x:c>
      <x:c r="C13" s="16" t="str">
        <x:v>012</x:v>
      </x:c>
      <x:c r="D13" s="16" t="n">
        <x:v>1</x:v>
      </x:c>
      <x:c r="E13" s="16" t="str">
        <x:v>EP01-S01</x:v>
      </x:c>
      <x:c r="F13" s="16" t="str">
        <x:v>1절 옥상</x:v>
      </x:c>
      <x:c r="G13" s="16" t="str">
        <x:v>CU</x:v>
      </x:c>
      <x:c r="H13" s="16" t="str"/>
      <x:c r="I13" s="16" t="str">
        <x:v>01-1-3</x:v>
      </x:c>
      <x:c r="J13" s="16" t="str">
        <x:v>옥상 근접판</x:v>
      </x:c>
      <x:c r="K13" s="16" t="str">
        <x:v>코어가 심장 박자로 밝아졌다 어두워진다</x:v>
      </x:c>
      <x:c r="L13" s="16" t="str"/>
      <x:c r="M13" s="16" t="str"/>
      <x:c r="N13" s="16" t="str">
        <x:v>380px · 여백 좁</x:v>
      </x:c>
      <x:c r="O13" s="16" t="str">
        <x:v>Close on an amber core pulsing with a heartbeat rhythm.</x:v>
      </x:c>
      <x:c r="P13" s="16" t="n">
        <x:v>193</x:v>
      </x:c>
      <x:c r="Q13" s="16" t="str">
        <x:v>SOURCE</x:v>
      </x:c>
    </x:row>
    <x:row r="14" ht="66" customHeight="1">
      <x:c r="A14" s="16" t="str">
        <x:v>B013-013</x:v>
      </x:c>
      <x:c r="B14" s="16" t="str">
        <x:v>013</x:v>
      </x:c>
      <x:c r="C14" s="16" t="str">
        <x:v>013</x:v>
      </x:c>
      <x:c r="D14" s="16" t="n">
        <x:v>1</x:v>
      </x:c>
      <x:c r="E14" s="16" t="str">
        <x:v>EP01-S01</x:v>
      </x:c>
      <x:c r="F14" s="16" t="str">
        <x:v>1절 옥상</x:v>
      </x:c>
      <x:c r="G14" s="16" t="str">
        <x:v>MS</x:v>
      </x:c>
      <x:c r="H14" s="16" t="str"/>
      <x:c r="I14" s="16" t="str">
        <x:v>01-1-3</x:v>
      </x:c>
      <x:c r="J14" s="16" t="str">
        <x:v>옥상 근접판</x:v>
      </x:c>
      <x:c r="K14" s="16" t="str">
        <x:v>오른손의 낫. 자루 172cm. 초승달 칼날. 농기구 실루엣</x:v>
      </x:c>
      <x:c r="L14" s="16" t="str"/>
      <x:c r="M14" s="16" t="str"/>
      <x:c r="N14" s="16" t="str">
        <x:v>400px · 여백 좁</x:v>
      </x:c>
      <x:c r="O14" s="16" t="str">
        <x:v>A long scythe held in the right hand. Crescent blade, farm tool silhouette, 172cm shaft.</x:v>
      </x:c>
      <x:c r="P14" s="16" t="n">
        <x:v>205</x:v>
      </x:c>
      <x:c r="Q14" s="16" t="str">
        <x:v>SOURCE</x:v>
      </x:c>
    </x:row>
    <x:row r="15" ht="66" customHeight="1">
      <x:c r="A15" s="16" t="str">
        <x:v>B014-014</x:v>
      </x:c>
      <x:c r="B15" s="16" t="str">
        <x:v>014</x:v>
      </x:c>
      <x:c r="C15" s="16" t="str">
        <x:v>014</x:v>
      </x:c>
      <x:c r="D15" s="16" t="n">
        <x:v>1</x:v>
      </x:c>
      <x:c r="E15" s="16" t="str">
        <x:v>EP01-S01</x:v>
      </x:c>
      <x:c r="F15" s="16" t="str">
        <x:v>1절 옥상</x:v>
      </x:c>
      <x:c r="G15" s="16" t="str">
        <x:v>ECU</x:v>
      </x:c>
      <x:c r="H15" s="16" t="str">
        <x:v>⭐🎣</x:v>
      </x:c>
      <x:c r="I15" s="16" t="str">
        <x:v>01-1-3</x:v>
      </x:c>
      <x:c r="J15" s="16" t="str">
        <x:v>옥상 근접판</x:v>
      </x:c>
      <x:c r="K15" s="16" t="str">
        <x:v>끝자락 4분의 1 지점. 주황 입자가 고동친다</x:v>
      </x:c>
      <x:c r="L15" s="16" t="str"/>
      <x:c r="M15" s="16" t="str"/>
      <x:c r="N15" s="16" t="str">
        <x:v>400px · 여백 중</x:v>
      </x:c>
      <x:c r="O15" s="16" t="str">
        <x:v>Extreme close on the outer quarter of a scythe blade. Amber particles pulsing along the edge.</x:v>
      </x:c>
      <x:c r="P15" s="16" t="n">
        <x:v>217</x:v>
      </x:c>
      <x:c r="Q15" s="16" t="str">
        <x:v>SOURCE</x:v>
      </x:c>
    </x:row>
    <x:row r="16" ht="66" customHeight="1">
      <x:c r="A16" s="16" t="str">
        <x:v>B015-015</x:v>
      </x:c>
      <x:c r="B16" s="16" t="str">
        <x:v>015</x:v>
      </x:c>
      <x:c r="C16" s="16" t="str">
        <x:v>015</x:v>
      </x:c>
      <x:c r="D16" s="16" t="n">
        <x:v>1</x:v>
      </x:c>
      <x:c r="E16" s="16" t="str">
        <x:v>EP01-S01</x:v>
      </x:c>
      <x:c r="F16" s="16" t="str">
        <x:v>1절 옥상</x:v>
      </x:c>
      <x:c r="G16" s="16" t="str">
        <x:v>분할 인서트 세로 2단</x:v>
      </x:c>
      <x:c r="H16" s="16" t="str">
        <x:v>⭐</x:v>
      </x:c>
      <x:c r="I16" s="16" t="str">
        <x:v>01-1-3</x:v>
      </x:c>
      <x:c r="J16" s="16" t="str">
        <x:v>옥상 근접판</x:v>
      </x:c>
      <x:c r="K16" s="16" t="str">
        <x:v>위: 목덜미 코어 / 아래: 칼날 끝자락. 같은 색, 같은 박자로 명멸</x:v>
      </x:c>
      <x:c r="L16" s="16" t="str"/>
      <x:c r="M16" s="16" t="str"/>
      <x:c r="N16" s="16" t="str">
        <x:v>520px · 여백 넓</x:v>
      </x:c>
      <x:c r="O16" s="16" t="str">
        <x:v>Two stacked panels. Top: an amber core at the nape. Bottom: the tip of a scythe blade. Same color, same pulse.</x:v>
      </x:c>
      <x:c r="P16" s="16" t="n">
        <x:v>229</x:v>
      </x:c>
      <x:c r="Q16" s="16" t="str">
        <x:v>SOURCE</x:v>
      </x:c>
    </x:row>
    <x:row r="17" ht="66" customHeight="1">
      <x:c r="A17" s="16" t="str">
        <x:v>B016-016</x:v>
      </x:c>
      <x:c r="B17" s="16" t="str">
        <x:v>016</x:v>
      </x:c>
      <x:c r="C17" s="16" t="str">
        <x:v>016</x:v>
      </x:c>
      <x:c r="D17" s="16" t="n">
        <x:v>1</x:v>
      </x:c>
      <x:c r="E17" s="16" t="str">
        <x:v>EP01-S01</x:v>
      </x:c>
      <x:c r="F17" s="16" t="str">
        <x:v>1절 옥상</x:v>
      </x:c>
      <x:c r="G17" s="16" t="str">
        <x:v>CU 정면</x:v>
      </x:c>
      <x:c r="H17" s="16" t="str"/>
      <x:c r="I17" s="16" t="str">
        <x:v>01-1-3</x:v>
      </x:c>
      <x:c r="J17" s="16" t="str">
        <x:v>옥상 근접판</x:v>
      </x:c>
      <x:c r="K17" s="16" t="str">
        <x:v>아인이 눈을 감는다. 표정 없음</x:v>
      </x:c>
      <x:c r="L17" s="16" t="str">
        <x:v>나레이션: 황혼이 지는 도시. / 신이 버린 이 땅에 남은 건 차가운 쇳덩이와, / 죽지 못한 자들의 원한뿐이다.</x:v>
      </x:c>
      <x:c r="M17" s="16" t="str"/>
      <x:c r="N17" s="16" t="str">
        <x:v>620px · 여백 극</x:v>
      </x:c>
      <x:c r="O17" s="16" t="str">
        <x:v>Front view, bust. A young woman closing her eyes. No expression.</x:v>
      </x:c>
      <x:c r="P17" s="16" t="n">
        <x:v>241</x:v>
      </x:c>
      <x:c r="Q17" s="16" t="str">
        <x:v>SOURCE</x:v>
      </x:c>
    </x:row>
    <x:row r="18" ht="66" customHeight="1">
      <x:c r="A18" s="16" t="str">
        <x:v>B017-017</x:v>
      </x:c>
      <x:c r="B18" s="16" t="str">
        <x:v>017</x:v>
      </x:c>
      <x:c r="C18" s="16" t="str">
        <x:v>017</x:v>
      </x:c>
      <x:c r="D18" s="16" t="n">
        <x:v>1</x:v>
      </x:c>
      <x:c r="E18" s="16" t="str">
        <x:v>EP01-S02</x:v>
      </x:c>
      <x:c r="F18" s="16" t="str">
        <x:v>2절 미끄러진 것</x:v>
      </x:c>
      <x:c r="G18" s="16" t="str">
        <x:v>ECU 무채색</x:v>
      </x:c>
      <x:c r="H18" s="16" t="str"/>
      <x:c r="I18" s="16" t="str">
        <x:v>02-1</x:v>
      </x:c>
      <x:c r="J18" s="16" t="str">
        <x:v>셔터 기본</x:v>
      </x:c>
      <x:c r="K18" s="16" t="str">
        <x:v>셔터 철판이 콘크리트 레일을 긁는다. 화면 전체가 흰빛에 탄다</x:v>
      </x:c>
      <x:c r="L18" s="16" t="str"/>
      <x:c r="M18" s="16" t="str">
        <x:v>끼이이이—</x:v>
      </x:c>
      <x:c r="N18" s="16" t="str">
        <x:v>420px · 여백 좁</x:v>
      </x:c>
      <x:c r="O18" s="16" t="str">
        <x:v>MONOCHROME, blown out white. A steel shutter scraping down a concrete rail.</x:v>
      </x:c>
      <x:c r="P18" s="16" t="n">
        <x:v>260</x:v>
      </x:c>
      <x:c r="Q18" s="16" t="str">
        <x:v>SOURCE</x:v>
      </x:c>
    </x:row>
    <x:row r="19" ht="66" customHeight="1">
      <x:c r="A19" s="16" t="str">
        <x:v>B018-018</x:v>
      </x:c>
      <x:c r="B19" s="16" t="str">
        <x:v>018</x:v>
      </x:c>
      <x:c r="C19" s="16" t="str">
        <x:v>018</x:v>
      </x:c>
      <x:c r="D19" s="16" t="n">
        <x:v>1</x:v>
      </x:c>
      <x:c r="E19" s="16" t="str">
        <x:v>EP01-S02</x:v>
      </x:c>
      <x:c r="F19" s="16" t="str">
        <x:v>2절 미끄러진 것</x:v>
      </x:c>
      <x:c r="G19" s="16" t="str">
        <x:v>인서트 무채색</x:v>
      </x:c>
      <x:c r="H19" s="16" t="str"/>
      <x:c r="I19" s="16" t="str">
        <x:v>02-1</x:v>
      </x:c>
      <x:c r="J19" s="16" t="str">
        <x:v>-a 틈 27%</x:v>
      </x:c>
      <x:c r="K19" s="16" t="str">
        <x:v>셔터 하단과 바닥 사이의 틈. 아직 넓다</x:v>
      </x:c>
      <x:c r="L19" s="16" t="str">
        <x:v>나레이션: 그 소리는 기억 속에서 실제보다 느리다.</x:v>
      </x:c>
      <x:c r="M19" s="16" t="str"/>
      <x:c r="N19" s="16" t="str">
        <x:v>360px · 여백 좁</x:v>
      </x:c>
      <x:c r="O19" s="16" t="str">
        <x:v>MONOCHROME. A wide gap under a descending shutter, white light pouring through.</x:v>
      </x:c>
      <x:c r="P19" s="16" t="n">
        <x:v>273</x:v>
      </x:c>
      <x:c r="Q19" s="16" t="str">
        <x:v>SOURCE</x:v>
      </x:c>
    </x:row>
    <x:row r="20" ht="66" customHeight="1">
      <x:c r="A20" s="16" t="str">
        <x:v>B019-019</x:v>
      </x:c>
      <x:c r="B20" s="16" t="str">
        <x:v>019</x:v>
      </x:c>
      <x:c r="C20" s="16" t="str">
        <x:v>019</x:v>
      </x:c>
      <x:c r="D20" s="16" t="n">
        <x:v>1</x:v>
      </x:c>
      <x:c r="E20" s="16" t="str">
        <x:v>EP01-S02</x:v>
      </x:c>
      <x:c r="F20" s="16" t="str">
        <x:v>2절 미끄러진 것</x:v>
      </x:c>
      <x:c r="G20" s="16" t="str">
        <x:v>인서트 무채색</x:v>
      </x:c>
      <x:c r="H20" s="16" t="str"/>
      <x:c r="I20" s="16" t="str">
        <x:v>02-1</x:v>
      </x:c>
      <x:c r="J20" s="16" t="str">
        <x:v>-b 틈 16%</x:v>
      </x:c>
      <x:c r="K20" s="16" t="str">
        <x:v>같은 틈. 조금 좁아졌다</x:v>
      </x:c>
      <x:c r="L20" s="16" t="str">
        <x:v>나레이션: 그래서 매번, 아직 시간이 있다는 착각이 든다.</x:v>
      </x:c>
      <x:c r="M20" s="16" t="str"/>
      <x:c r="N20" s="16" t="str">
        <x:v>360px · 여백 중</x:v>
      </x:c>
      <x:c r="O20" s="16" t="str">
        <x:v>MONOCHROME. The same gap, now narrower.</x:v>
      </x:c>
      <x:c r="P20" s="16" t="n">
        <x:v>286</x:v>
      </x:c>
      <x:c r="Q20" s="16" t="str">
        <x:v>SOURCE</x:v>
      </x:c>
    </x:row>
    <x:row r="21" ht="66" customHeight="1">
      <x:c r="A21" s="16" t="str">
        <x:v>B020-020</x:v>
      </x:c>
      <x:c r="B21" s="16" t="str">
        <x:v>020</x:v>
      </x:c>
      <x:c r="C21" s="16" t="str">
        <x:v>020</x:v>
      </x:c>
      <x:c r="D21" s="16" t="n">
        <x:v>1</x:v>
      </x:c>
      <x:c r="E21" s="16" t="str">
        <x:v>EP01-S02</x:v>
      </x:c>
      <x:c r="F21" s="16" t="str">
        <x:v>2절 미끄러진 것</x:v>
      </x:c>
      <x:c r="G21" s="16" t="str">
        <x:v>ECU 무채색</x:v>
      </x:c>
      <x:c r="H21" s="16" t="str">
        <x:v>🤫</x:v>
      </x:c>
      <x:c r="I21" s="16" t="str">
        <x:v>02-1-1</x:v>
      </x:c>
      <x:c r="J21" s="16" t="str">
        <x:v>셔터 근접판</x:v>
      </x:c>
      <x:c r="K21" s="16" t="str">
        <x:v>맞잡은 두 손. 작은 손, 손가락이 짧고 손톱 밑이 까맣다</x:v>
      </x:c>
      <x:c r="L21" s="16" t="str"/>
      <x:c r="M21" s="16" t="str"/>
      <x:c r="N21" s="16" t="str">
        <x:v>330px · 여백 좁</x:v>
      </x:c>
      <x:c r="O21" s="16" t="str">
        <x:v>MONOCHROME. Two hands clasped. One is small with short fingers and dirt under the nails. No faces.</x:v>
      </x:c>
      <x:c r="P21" s="16" t="n">
        <x:v>299</x:v>
      </x:c>
      <x:c r="Q21" s="16" t="str">
        <x:v>SOURCE</x:v>
      </x:c>
    </x:row>
    <x:row r="22" ht="66" customHeight="1">
      <x:c r="A22" s="16" t="str">
        <x:v>B021-021</x:v>
      </x:c>
      <x:c r="B22" s="16" t="str">
        <x:v>021</x:v>
      </x:c>
      <x:c r="C22" s="16" t="str">
        <x:v>021</x:v>
      </x:c>
      <x:c r="D22" s="16" t="n">
        <x:v>1</x:v>
      </x:c>
      <x:c r="E22" s="16" t="str">
        <x:v>EP01-S02</x:v>
      </x:c>
      <x:c r="F22" s="16" t="str">
        <x:v>2절 미끄러진 것</x:v>
      </x:c>
      <x:c r="G22" s="16" t="str">
        <x:v>ECU 무채색</x:v>
      </x:c>
      <x:c r="H22" s="16" t="str">
        <x:v>🤫</x:v>
      </x:c>
      <x:c r="I22" s="16" t="str">
        <x:v>02-1-1</x:v>
      </x:c>
      <x:c r="J22" s="16" t="str">
        <x:v>셔터 근접판</x:v>
      </x:c>
      <x:c r="K22" s="16" t="str">
        <x:v>아인의 손아귀. 힘이 들어가 있다</x:v>
      </x:c>
      <x:c r="L22" s="16" t="str"/>
      <x:c r="M22" s="16" t="str"/>
      <x:c r="N22" s="16" t="str">
        <x:v>330px · 여백 좁</x:v>
      </x:c>
      <x:c r="O22" s="16" t="str">
        <x:v>MONOCHROME. A grip tightening on a smaller hand.</x:v>
      </x:c>
      <x:c r="P22" s="16" t="n">
        <x:v>311</x:v>
      </x:c>
      <x:c r="Q22" s="16" t="str">
        <x:v>SOURCE</x:v>
      </x:c>
    </x:row>
    <x:row r="23" ht="66" customHeight="1">
      <x:c r="A23" s="16" t="str">
        <x:v>B022-022</x:v>
      </x:c>
      <x:c r="B23" s="16" t="str">
        <x:v>022</x:v>
      </x:c>
      <x:c r="C23" s="16" t="str">
        <x:v>022</x:v>
      </x:c>
      <x:c r="D23" s="16" t="n">
        <x:v>1</x:v>
      </x:c>
      <x:c r="E23" s="16" t="str">
        <x:v>EP01-S02</x:v>
      </x:c>
      <x:c r="F23" s="16" t="str">
        <x:v>2절 미끄러진 것</x:v>
      </x:c>
      <x:c r="G23" s="16" t="str">
        <x:v>인서트 무채색</x:v>
      </x:c>
      <x:c r="H23" s="16" t="str"/>
      <x:c r="I23" s="16" t="str">
        <x:v>02-1</x:v>
      </x:c>
      <x:c r="J23" s="16" t="str">
        <x:v>-c 틈 9%</x:v>
      </x:c>
      <x:c r="K23" s="16" t="str">
        <x:v>틈이 더 좁아졌다</x:v>
      </x:c>
      <x:c r="L23" s="16" t="str"/>
      <x:c r="M23" s="16" t="str">
        <x:v>끼이—</x:v>
      </x:c>
      <x:c r="N23" s="16" t="str">
        <x:v>330px · 여백 좁</x:v>
      </x:c>
      <x:c r="O23" s="16" t="str">
        <x:v>MONOCHROME. The gap narrower still.</x:v>
      </x:c>
      <x:c r="P23" s="16" t="n">
        <x:v>323</x:v>
      </x:c>
      <x:c r="Q23" s="16" t="str">
        <x:v>SOURCE</x:v>
      </x:c>
    </x:row>
    <x:row r="24" ht="66" customHeight="1">
      <x:c r="A24" s="16" t="str">
        <x:v>B023-023</x:v>
      </x:c>
      <x:c r="B24" s="16" t="str">
        <x:v>023</x:v>
      </x:c>
      <x:c r="C24" s="16" t="str">
        <x:v>023</x:v>
      </x:c>
      <x:c r="D24" s="16" t="n">
        <x:v>1</x:v>
      </x:c>
      <x:c r="E24" s="16" t="str">
        <x:v>EP01-S02</x:v>
      </x:c>
      <x:c r="F24" s="16" t="str">
        <x:v>2절 미끄러진 것</x:v>
      </x:c>
      <x:c r="G24" s="16" t="str">
        <x:v>ECU 무채색</x:v>
      </x:c>
      <x:c r="H24" s="16" t="str">
        <x:v>🤫</x:v>
      </x:c>
      <x:c r="I24" s="16" t="str">
        <x:v>02-1-1</x:v>
      </x:c>
      <x:c r="J24" s="16" t="str">
        <x:v>셔터 근접판</x:v>
      </x:c>
      <x:c r="K24" s="16" t="str">
        <x:v>아인의 손아귀에서 힘이 빠진다</x:v>
      </x:c>
      <x:c r="L24" s="16" t="str"/>
      <x:c r="M24" s="16" t="str"/>
      <x:c r="N24" s="16" t="str">
        <x:v>330px · 여백 좁</x:v>
      </x:c>
      <x:c r="O24" s="16" t="str">
        <x:v>MONOCHROME. The grip loosening.</x:v>
      </x:c>
      <x:c r="P24" s="16" t="n">
        <x:v>336</x:v>
      </x:c>
      <x:c r="Q24" s="16" t="str">
        <x:v>SOURCE</x:v>
      </x:c>
    </x:row>
    <x:row r="25" ht="66" customHeight="1">
      <x:c r="A25" s="16" t="str">
        <x:v>B024-024</x:v>
      </x:c>
      <x:c r="B25" s="16" t="str">
        <x:v>024</x:v>
      </x:c>
      <x:c r="C25" s="16" t="str">
        <x:v>024</x:v>
      </x:c>
      <x:c r="D25" s="16" t="n">
        <x:v>1</x:v>
      </x:c>
      <x:c r="E25" s="16" t="str">
        <x:v>EP01-S02</x:v>
      </x:c>
      <x:c r="F25" s="16" t="str">
        <x:v>2절 미끄러진 것</x:v>
      </x:c>
      <x:c r="G25" s="16" t="str">
        <x:v>ECU 무채색</x:v>
      </x:c>
      <x:c r="H25" s="16" t="str">
        <x:v>🤫</x:v>
      </x:c>
      <x:c r="I25" s="16" t="str">
        <x:v>02-1-1</x:v>
      </x:c>
      <x:c r="J25" s="16" t="str">
        <x:v>셔터 근접판</x:v>
      </x:c>
      <x:c r="K25" s="16" t="str">
        <x:v>다른 쪽으로 뻗는 왼손이 프레임 끝에 걸린다</x:v>
      </x:c>
      <x:c r="L25" s="16" t="str"/>
      <x:c r="M25" s="16" t="str"/>
      <x:c r="N25" s="16" t="str">
        <x:v>330px · 여백 좁</x:v>
      </x:c>
      <x:c r="O25" s="16" t="str">
        <x:v>MONOCHROME. A left hand reaching toward the frame edge.</x:v>
      </x:c>
      <x:c r="P25" s="16" t="n">
        <x:v>348</x:v>
      </x:c>
      <x:c r="Q25" s="16" t="str">
        <x:v>SOURCE</x:v>
      </x:c>
    </x:row>
    <x:row r="26" ht="66" customHeight="1">
      <x:c r="A26" s="16" t="str">
        <x:v>B025-025</x:v>
      </x:c>
      <x:c r="B26" s="16" t="str">
        <x:v>025</x:v>
      </x:c>
      <x:c r="C26" s="16" t="str">
        <x:v>025</x:v>
      </x:c>
      <x:c r="D26" s="16" t="n">
        <x:v>1</x:v>
      </x:c>
      <x:c r="E26" s="16" t="str">
        <x:v>EP01-S02</x:v>
      </x:c>
      <x:c r="F26" s="16" t="str">
        <x:v>2절 미끄러진 것</x:v>
      </x:c>
      <x:c r="G26" s="16" t="str">
        <x:v>ECU 무채색</x:v>
      </x:c>
      <x:c r="H26" s="16" t="str">
        <x:v>🤫🔴</x:v>
      </x:c>
      <x:c r="I26" s="16" t="str">
        <x:v>02-1-1</x:v>
      </x:c>
      <x:c r="J26" s="16" t="str">
        <x:v>셔터 근접판</x:v>
      </x:c>
      <x:c r="K26" s="16" t="str">
        <x:v>작은 손이 미끄러진다</x:v>
      </x:c>
      <x:c r="L26" s="16" t="str"/>
      <x:c r="M26" s="16" t="str"/>
      <x:c r="N26" s="16" t="str">
        <x:v>400px · 여백 중</x:v>
      </x:c>
      <x:c r="O26" s="16" t="str">
        <x:v>MONOCHROME. A small hand slipping out of a grip. ABSOLUTELY NO FACE. Hands only.</x:v>
      </x:c>
      <x:c r="P26" s="16" t="n">
        <x:v>360</x:v>
      </x:c>
      <x:c r="Q26" s="16" t="str">
        <x:v>SOURCE</x:v>
      </x:c>
    </x:row>
    <x:row r="27" ht="66" customHeight="1">
      <x:c r="A27" s="16" t="str">
        <x:v>B026-026</x:v>
      </x:c>
      <x:c r="B27" s="16" t="str">
        <x:v>026</x:v>
      </x:c>
      <x:c r="C27" s="16" t="str">
        <x:v>026</x:v>
      </x:c>
      <x:c r="D27" s="16" t="n">
        <x:v>1</x:v>
      </x:c>
      <x:c r="E27" s="16" t="str">
        <x:v>EP01-S02</x:v>
      </x:c>
      <x:c r="F27" s="16" t="str">
        <x:v>2절 미끄러진 것</x:v>
      </x:c>
      <x:c r="G27" s="16" t="str">
        <x:v>인서트 무채색</x:v>
      </x:c>
      <x:c r="H27" s="16" t="str"/>
      <x:c r="I27" s="16" t="str">
        <x:v>02-1</x:v>
      </x:c>
      <x:c r="J27" s="16" t="str">
        <x:v>-d 틈 4%</x:v>
      </x:c>
      <x:c r="K27" s="16" t="str">
        <x:v>손끝이 프레임 밖으로 사라진다</x:v>
      </x:c>
      <x:c r="L27" s="16" t="str"/>
      <x:c r="M27" s="16" t="str"/>
      <x:c r="N27" s="16" t="str">
        <x:v>360px · 여백 좁</x:v>
      </x:c>
      <x:c r="O27" s="16" t="str">
        <x:v>MONOCHROME. Fingertips vanishing past the frame edge. Only a 4% gap left under the shutter.</x:v>
      </x:c>
      <x:c r="P27" s="16" t="n">
        <x:v>372</x:v>
      </x:c>
      <x:c r="Q27" s="16" t="str">
        <x:v>SOURCE</x:v>
      </x:c>
    </x:row>
    <x:row r="28" ht="66" customHeight="1">
      <x:c r="A28" s="16" t="str">
        <x:v>B027-027</x:v>
      </x:c>
      <x:c r="B28" s="16" t="str">
        <x:v>027</x:v>
      </x:c>
      <x:c r="C28" s="16" t="str">
        <x:v>027</x:v>
      </x:c>
      <x:c r="D28" s="16" t="n">
        <x:v>1</x:v>
      </x:c>
      <x:c r="E28" s="16" t="str">
        <x:v>EP01-S02</x:v>
      </x:c>
      <x:c r="F28" s="16" t="str">
        <x:v>2절 미끄러진 것</x:v>
      </x:c>
      <x:c r="G28" s="16" t="str">
        <x:v>인서트 무채색</x:v>
      </x:c>
      <x:c r="H28" s="16" t="str">
        <x:v>🤫</x:v>
      </x:c>
      <x:c r="I28" s="16" t="str">
        <x:v>02-1</x:v>
      </x:c>
      <x:c r="J28" s="16" t="str">
        <x:v>-e 틈+발목</x:v>
      </x:c>
      <x:c r="K28" s="16" t="str">
        <x:v>좁아지는 틈, 그 너머 실루엣</x:v>
      </x:c>
      <x:c r="L28" s="16" t="str"/>
      <x:c r="M28" s="16" t="str"/>
      <x:c r="N28" s="16" t="str">
        <x:v>420px · 여백 극</x:v>
      </x:c>
      <x:c r="O28" s="16" t="str">
        <x:v>MONOCHROME. Through a hairline gap, only a pair of small feet and ankles in the light beyond. Everything above hidden by the shutter.</x:v>
      </x:c>
      <x:c r="P28" s="16" t="n">
        <x:v>384</x:v>
      </x:c>
      <x:c r="Q28" s="16" t="str">
        <x:v>SOURCE</x:v>
      </x:c>
    </x:row>
    <x:row r="29" ht="66" customHeight="1">
      <x:c r="A29" s="16" t="str">
        <x:v>B028-028</x:v>
      </x:c>
      <x:c r="B29" s="16" t="str">
        <x:v>028</x:v>
      </x:c>
      <x:c r="C29" s="16" t="str">
        <x:v>028</x:v>
      </x:c>
      <x:c r="D29" s="16" t="n">
        <x:v>1</x:v>
      </x:c>
      <x:c r="E29" s="16" t="str">
        <x:v>EP01-S02</x:v>
      </x:c>
      <x:c r="F29" s="16" t="str">
        <x:v>2절 미끄러진 것</x:v>
      </x:c>
      <x:c r="G29" s="16" t="str">
        <x:v>암전</x:v>
      </x:c>
      <x:c r="H29" s="16" t="str"/>
      <x:c r="I29" s="16" t="str">
        <x:v>—</x:v>
      </x:c>
      <x:c r="J29" s="16" t="str">
        <x:v>배경 없음</x:v>
      </x:c>
      <x:c r="K29" s="16" t="str">
        <x:v>검은 화면</x:v>
      </x:c>
      <x:c r="L29" s="16" t="str"/>
      <x:c r="M29" s="16" t="str">
        <x:v>쿵.</x:v>
      </x:c>
      <x:c r="N29" s="16" t="str">
        <x:v>340px · 여백 극</x:v>
      </x:c>
      <x:c r="O29" s="16" t="str">
        <x:v>Pure black frame. Nothing else.</x:v>
      </x:c>
      <x:c r="P29" s="16" t="n">
        <x:v>396</x:v>
      </x:c>
      <x:c r="Q29" s="16" t="str">
        <x:v>SOURCE</x:v>
      </x:c>
    </x:row>
    <x:row r="30" ht="66" customHeight="1">
      <x:c r="A30" s="16" t="str">
        <x:v>B029-029</x:v>
      </x:c>
      <x:c r="B30" s="16" t="str">
        <x:v>029</x:v>
      </x:c>
      <x:c r="C30" s="16" t="str">
        <x:v>029</x:v>
      </x:c>
      <x:c r="D30" s="16" t="n">
        <x:v>1</x:v>
      </x:c>
      <x:c r="E30" s="16" t="str">
        <x:v>EP01-S02</x:v>
      </x:c>
      <x:c r="F30" s="16" t="str">
        <x:v>2절 미끄러진 것</x:v>
      </x:c>
      <x:c r="G30" s="16" t="str">
        <x:v>ECU 무채색</x:v>
      </x:c>
      <x:c r="H30" s="16" t="str"/>
      <x:c r="I30" s="16" t="str">
        <x:v>01-1-3</x:v>
      </x:c>
      <x:c r="J30" s="16" t="str">
        <x:v>옥상 근접판</x:v>
      </x:c>
      <x:c r="K30" s="16" t="str">
        <x:v>아인의 감은 눈. 아직 흰빛</x:v>
      </x:c>
      <x:c r="L30" s="16" t="str"/>
      <x:c r="M30" s="16" t="str"/>
      <x:c r="N30" s="16" t="str">
        <x:v>330px · 여백 중</x:v>
      </x:c>
      <x:c r="O30" s="16" t="str">
        <x:v>MONOCHROME. Extreme close on closed eyes, still washed in white light.</x:v>
      </x:c>
      <x:c r="P30" s="16" t="n">
        <x:v>409</x:v>
      </x:c>
      <x:c r="Q30" s="16" t="str">
        <x:v>SOURCE</x:v>
      </x:c>
    </x:row>
    <x:row r="31" ht="66" customHeight="1">
      <x:c r="A31" s="16" t="str">
        <x:v>B030-030</x:v>
      </x:c>
      <x:c r="B31" s="16" t="str">
        <x:v>030</x:v>
      </x:c>
      <x:c r="C31" s="16" t="str">
        <x:v>030</x:v>
      </x:c>
      <x:c r="D31" s="16" t="n">
        <x:v>1</x:v>
      </x:c>
      <x:c r="E31" s="16" t="str">
        <x:v>EP01-S02</x:v>
      </x:c>
      <x:c r="F31" s="16" t="str">
        <x:v>2절 미끄러진 것</x:v>
      </x:c>
      <x:c r="G31" s="16" t="str">
        <x:v>CU</x:v>
      </x:c>
      <x:c r="H31" s="16" t="str"/>
      <x:c r="I31" s="16" t="str">
        <x:v>01-1-3</x:v>
      </x:c>
      <x:c r="J31" s="16" t="str">
        <x:v>옥상 근접판</x:v>
      </x:c>
      <x:c r="K31" s="16" t="str">
        <x:v>눈을 뜬다. 색이 돌아온다. 보라와 주황이 한꺼번에</x:v>
      </x:c>
      <x:c r="L31" s="16" t="str"/>
      <x:c r="M31" s="16" t="str"/>
      <x:c r="N31" s="16" t="str">
        <x:v>560px · 여백 넓</x:v>
      </x:c>
      <x:c r="O31" s="16" t="str">
        <x:v>Color returns at once. A young woman opening her eyes. Violet and amber flood in.</x:v>
      </x:c>
      <x:c r="P31" s="16" t="n">
        <x:v>421</x:v>
      </x:c>
      <x:c r="Q31" s="16" t="str">
        <x:v>SOURCE</x:v>
      </x:c>
    </x:row>
    <x:row r="32" ht="66" customHeight="1">
      <x:c r="A32" s="16" t="str">
        <x:v>B031-031</x:v>
      </x:c>
      <x:c r="B32" s="16" t="str">
        <x:v>031</x:v>
      </x:c>
      <x:c r="C32" s="16" t="str">
        <x:v>031</x:v>
      </x:c>
      <x:c r="D32" s="16" t="n">
        <x:v>1</x:v>
      </x:c>
      <x:c r="E32" s="16" t="str">
        <x:v>EP01-S03</x:v>
      </x:c>
      <x:c r="F32" s="16" t="str">
        <x:v>3절 반보 뒤</x:v>
      </x:c>
      <x:c r="G32" s="16" t="str">
        <x:v>ECU</x:v>
      </x:c>
      <x:c r="H32" s="16" t="str"/>
      <x:c r="I32" s="16" t="str">
        <x:v>01-1-3</x:v>
      </x:c>
      <x:c r="J32" s="16" t="str">
        <x:v>옥상 근접판</x:v>
      </x:c>
      <x:c r="K32" s="16" t="str">
        <x:v>낫 자루를 쥔 손. 힘줄이 도드라진다</x:v>
      </x:c>
      <x:c r="L32" s="16" t="str">
        <x:v>나레이션: 2년 동안 이 손으로 백 몇 마리를 끊었다.</x:v>
      </x:c>
      <x:c r="M32" s="16" t="str"/>
      <x:c r="N32" s="16" t="str">
        <x:v>360px · 여백 좁</x:v>
      </x:c>
      <x:c r="O32" s="16" t="str">
        <x:v>Extreme close on a hand gripping a scythe shaft, tendons standing out.</x:v>
      </x:c>
      <x:c r="P32" s="16" t="n">
        <x:v>439</x:v>
      </x:c>
      <x:c r="Q32" s="16" t="str">
        <x:v>SOURCE</x:v>
      </x:c>
    </x:row>
    <x:row r="33" ht="66" customHeight="1">
      <x:c r="A33" s="16" t="str">
        <x:v>B032-032</x:v>
      </x:c>
      <x:c r="B33" s="16" t="str">
        <x:v>032</x:v>
      </x:c>
      <x:c r="C33" s="16" t="str">
        <x:v>032</x:v>
      </x:c>
      <x:c r="D33" s="16" t="n">
        <x:v>1</x:v>
      </x:c>
      <x:c r="E33" s="16" t="str">
        <x:v>EP01-S03</x:v>
      </x:c>
      <x:c r="F33" s="16" t="str">
        <x:v>3절 반보 뒤</x:v>
      </x:c>
      <x:c r="G33" s="16" t="str">
        <x:v>세로 3단</x:v>
      </x:c>
      <x:c r="H33" s="16" t="str"/>
      <x:c r="I33" s="16" t="str">
        <x:v>01-1-3</x:v>
      </x:c>
      <x:c r="J33" s="16" t="str">
        <x:v>옥상 근접판</x:v>
      </x:c>
      <x:c r="K33" s="16" t="str">
        <x:v>위: 소형 감염체를 한 번에 끊는 잔상 3개 / 가운데: 낫을 내리는 아인 / 아래: 비어 있는 손바닥</x:v>
      </x:c>
      <x:c r="L33" s="16" t="str">
        <x:v>나레이션: 전부 작은 것들이었다. 이길 수 있는 것만, / 안전한 거리에서, 한 번에. 큰 건 피했다.</x:v>
      </x:c>
      <x:c r="M33" s="16" t="str"/>
      <x:c r="N33" s="16" t="str">
        <x:v>760px · 여백 넓</x:v>
      </x:c>
      <x:c r="O33" s="16" t="str">
        <x:v>Three stacked panels: afterimages of three quick scythe cuts, a woman lowering the scythe, an empty open palm.</x:v>
      </x:c>
      <x:c r="P33" s="16" t="n">
        <x:v>452</x:v>
      </x:c>
      <x:c r="Q33" s="16" t="str">
        <x:v>SOURCE</x:v>
      </x:c>
    </x:row>
    <x:row r="34" ht="66" customHeight="1">
      <x:c r="A34" s="16" t="str">
        <x:v>B033-033</x:v>
      </x:c>
      <x:c r="B34" s="16" t="str">
        <x:v>033</x:v>
      </x:c>
      <x:c r="C34" s="16" t="str">
        <x:v>033</x:v>
      </x:c>
      <x:c r="D34" s="16" t="n">
        <x:v>1</x:v>
      </x:c>
      <x:c r="E34" s="16" t="str">
        <x:v>EP01-S03</x:v>
      </x:c>
      <x:c r="F34" s="16" t="str">
        <x:v>3절 반보 뒤</x:v>
      </x:c>
      <x:c r="G34" s="16" t="str">
        <x:v>ECU</x:v>
      </x:c>
      <x:c r="H34" s="16" t="str">
        <x:v>⭐🤫</x:v>
      </x:c>
      <x:c r="I34" s="16" t="str">
        <x:v>01-1-3</x:v>
      </x:c>
      <x:c r="J34" s="16" t="str">
        <x:v>옥상 근접판</x:v>
      </x:c>
      <x:c r="K34" s="16" t="str">
        <x:v>비어 있는 손바닥. 아무것도 쥐고 있지 않다</x:v>
      </x:c>
      <x:c r="L34" s="16" t="str">
        <x:v>나레이션: 그래도 그 손은 여전히 그날 그 크기만큼 비어 있었다.</x:v>
      </x:c>
      <x:c r="M34" s="16" t="str"/>
      <x:c r="N34" s="16" t="str">
        <x:v>420px · 여백 극</x:v>
      </x:c>
      <x:c r="O34" s="16" t="str">
        <x:v>Extreme close on an open empty palm. Holding nothing.</x:v>
      </x:c>
      <x:c r="P34" s="16" t="n">
        <x:v>465</x:v>
      </x:c>
      <x:c r="Q34" s="16" t="str">
        <x:v>SOURCE</x:v>
      </x:c>
    </x:row>
    <x:row r="35" ht="66" customHeight="1">
      <x:c r="A35" s="16" t="str">
        <x:v>B034-034</x:v>
      </x:c>
      <x:c r="B35" s="16" t="str">
        <x:v>034</x:v>
      </x:c>
      <x:c r="C35" s="16" t="str">
        <x:v>034</x:v>
      </x:c>
      <x:c r="D35" s="16" t="n">
        <x:v>1</x:v>
      </x:c>
      <x:c r="E35" s="16" t="str">
        <x:v>EP01-S03</x:v>
      </x:c>
      <x:c r="F35" s="16" t="str">
        <x:v>3절 반보 뒤</x:v>
      </x:c>
      <x:c r="G35" s="16" t="str">
        <x:v>MS 로우</x:v>
      </x:c>
      <x:c r="H35" s="16" t="str"/>
      <x:c r="I35" s="16" t="str">
        <x:v>01-1-2</x:v>
      </x:c>
      <x:c r="J35" s="16" t="str">
        <x:v>바닥·난간·철문</x:v>
      </x:c>
      <x:c r="K35" s="16" t="str">
        <x:v>옥상 철문이 열린다. 역광 속 산 같은 실루엣</x:v>
      </x:c>
      <x:c r="L35" s="16" t="str"/>
      <x:c r="M35" s="16" t="str">
        <x:v>끼이익—</x:v>
      </x:c>
      <x:c r="N35" s="16" t="str">
        <x:v>470px · 여백 좁</x:v>
      </x:c>
      <x:c r="O35" s="16" t="str">
        <x:v>Low angle. A rusted steel rooftop door opening. A mountain-like silhouette backlit in the doorway.</x:v>
      </x:c>
      <x:c r="P35" s="16" t="n">
        <x:v>478</x:v>
      </x:c>
      <x:c r="Q35" s="16" t="str">
        <x:v>SOURCE</x:v>
      </x:c>
    </x:row>
    <x:row r="36" ht="66" customHeight="1">
      <x:c r="A36" s="16" t="str">
        <x:v>B035-035</x:v>
      </x:c>
      <x:c r="B36" s="16" t="str">
        <x:v>035</x:v>
      </x:c>
      <x:c r="C36" s="16" t="str">
        <x:v>035</x:v>
      </x:c>
      <x:c r="D36" s="16" t="n">
        <x:v>1</x:v>
      </x:c>
      <x:c r="E36" s="16" t="str">
        <x:v>EP01-S03</x:v>
      </x:c>
      <x:c r="F36" s="16" t="str">
        <x:v>3절 반보 뒤</x:v>
      </x:c>
      <x:c r="G36" s="16" t="str">
        <x:v>MS</x:v>
      </x:c>
      <x:c r="H36" s="16" t="str"/>
      <x:c r="I36" s="16" t="str">
        <x:v>01-1-2</x:v>
      </x:c>
      <x:c r="J36" s="16" t="str">
        <x:v>바닥·난간·철문</x:v>
      </x:c>
      <x:c r="K36" s="16" t="str">
        <x:v>카인. 왼쪽 눈썹→턱 흉터, 얼굴 반이 역광에 먹혔다</x:v>
      </x:c>
      <x:c r="L36" s="16" t="str"/>
      <x:c r="M36" s="16" t="str"/>
      <x:c r="N36" s="16" t="str">
        <x:v>400px · 여백 좁</x:v>
      </x:c>
      <x:c r="O36" s="16" t="str">
        <x:v>A large man, scar from left eyebrow to jaw. Half his face swallowed by backlight.</x:v>
      </x:c>
      <x:c r="P36" s="16" t="n">
        <x:v>491</x:v>
      </x:c>
      <x:c r="Q36" s="16" t="str">
        <x:v>SOURCE</x:v>
      </x:c>
    </x:row>
    <x:row r="37" ht="66" customHeight="1">
      <x:c r="A37" s="16" t="str">
        <x:v>B036-036</x:v>
      </x:c>
      <x:c r="B37" s="16" t="str">
        <x:v>036</x:v>
      </x:c>
      <x:c r="C37" s="16" t="str">
        <x:v>036</x:v>
      </x:c>
      <x:c r="D37" s="16" t="n">
        <x:v>1</x:v>
      </x:c>
      <x:c r="E37" s="16" t="str">
        <x:v>EP01-S03</x:v>
      </x:c>
      <x:c r="F37" s="16" t="str">
        <x:v>3절 반보 뒤</x:v>
      </x:c>
      <x:c r="G37" s="16" t="str">
        <x:v>ECU</x:v>
      </x:c>
      <x:c r="H37" s="16" t="str"/>
      <x:c r="I37" s="16" t="str">
        <x:v>01-1-2</x:v>
      </x:c>
      <x:c r="J37" s="16" t="str">
        <x:v>바닥·난간·철문</x:v>
      </x:c>
      <x:c r="K37" s="16" t="str">
        <x:v>흉터. 날붙이 자국이지 짐승 자국이 아니다</x:v>
      </x:c>
      <x:c r="L37" s="16" t="str"/>
      <x:c r="M37" s="16" t="str"/>
      <x:c r="N37" s="16" t="str">
        <x:v>360px · 여백 중</x:v>
      </x:c>
      <x:c r="O37" s="16" t="str">
        <x:v>Extreme close on a scar. Clearly a blade wound, not a claw.</x:v>
      </x:c>
      <x:c r="P37" s="16" t="n">
        <x:v>503</x:v>
      </x:c>
      <x:c r="Q37" s="16" t="str">
        <x:v>SOURCE</x:v>
      </x:c>
    </x:row>
    <x:row r="38" ht="66" customHeight="1">
      <x:c r="A38" s="16" t="str">
        <x:v>B037-037</x:v>
      </x:c>
      <x:c r="B38" s="16" t="str">
        <x:v>037</x:v>
      </x:c>
      <x:c r="C38" s="16" t="str">
        <x:v>037</x:v>
      </x:c>
      <x:c r="D38" s="16" t="n">
        <x:v>1</x:v>
      </x:c>
      <x:c r="E38" s="16" t="str">
        <x:v>EP01-S03</x:v>
      </x:c>
      <x:c r="F38" s="16" t="str">
        <x:v>3절 반보 뒤</x:v>
      </x:c>
      <x:c r="G38" s="16" t="str">
        <x:v>MS</x:v>
      </x:c>
      <x:c r="H38" s="16" t="str"/>
      <x:c r="I38" s="16" t="str">
        <x:v>01-1-2</x:v>
      </x:c>
      <x:c r="J38" s="16" t="str">
        <x:v>바닥·난간·철문</x:v>
      </x:c>
      <x:c r="K38" s="16" t="str">
        <x:v>어깨에 괸 티타늄 대검 190cm·62kg. 한 손 쥔 손아귀에 힘줄 하나 안 섰다</x:v>
      </x:c>
      <x:c r="L38" s="16" t="str"/>
      <x:c r="M38" s="16" t="str"/>
      <x:c r="N38" s="16" t="str">
        <x:v>430px · 여백 넓</x:v>
      </x:c>
      <x:c r="O38" s="16" t="str">
        <x:v>A huge titanium greatsword resting on a shoulder, held with one relaxed hand. No strain in the grip.</x:v>
      </x:c>
      <x:c r="P38" s="16" t="n">
        <x:v>515</x:v>
      </x:c>
      <x:c r="Q38" s="16" t="str">
        <x:v>SOURCE</x:v>
      </x:c>
    </x:row>
    <x:row r="39" ht="66" customHeight="1">
      <x:c r="A39" s="16" t="str">
        <x:v>B038-038</x:v>
      </x:c>
      <x:c r="B39" s="16" t="str">
        <x:v>038</x:v>
      </x:c>
      <x:c r="C39" s="16" t="str">
        <x:v>038</x:v>
      </x:c>
      <x:c r="D39" s="16" t="n">
        <x:v>1</x:v>
      </x:c>
      <x:c r="E39" s="16" t="str">
        <x:v>EP01-S03</x:v>
      </x:c>
      <x:c r="F39" s="16" t="str">
        <x:v>3절 반보 뒤</x:v>
      </x:c>
      <x:c r="G39" s="16" t="str">
        <x:v>WIDE 전신</x:v>
      </x:c>
      <x:c r="H39" s="16" t="str">
        <x:v>⭐🤫</x:v>
      </x:c>
      <x:c r="I39" s="16" t="str">
        <x:v>01-1-2</x:v>
      </x:c>
      <x:c r="J39" s="16" t="str">
        <x:v>바닥·난간·철문</x:v>
      </x:c>
      <x:c r="K39" s="16" t="str">
        <x:v>카인이 걸어와 멈춘다. 아인의 반보 뒤. 옆에 서지 않는다. 발이 프레임에</x:v>
      </x:c>
      <x:c r="L39" s="16" t="str"/>
      <x:c r="M39" s="16" t="str"/>
      <x:c r="N39" s="16" t="str">
        <x:v>520px · 여백 좁</x:v>
      </x:c>
      <x:c r="O39" s="16" t="str">
        <x:v>Two full figures on a rooftop. The larger man stops exactly half a step behind the woman, never beside her. BOTH PAIRS OF FEET MUST BE IN FRAME.</x:v>
      </x:c>
      <x:c r="P39" s="16" t="n">
        <x:v>527</x:v>
      </x:c>
      <x:c r="Q39" s="16" t="str">
        <x:v>SOURCE</x:v>
      </x:c>
    </x:row>
    <x:row r="40" ht="66" customHeight="1">
      <x:c r="A40" s="16" t="str">
        <x:v>B039-039</x:v>
      </x:c>
      <x:c r="B40" s="16" t="str">
        <x:v>039</x:v>
      </x:c>
      <x:c r="C40" s="16" t="str">
        <x:v>039</x:v>
      </x:c>
      <x:c r="D40" s="16" t="n">
        <x:v>1</x:v>
      </x:c>
      <x:c r="E40" s="16" t="str">
        <x:v>EP01-S03</x:v>
      </x:c>
      <x:c r="F40" s="16" t="str">
        <x:v>3절 반보 뒤</x:v>
      </x:c>
      <x:c r="G40" s="16" t="str">
        <x:v>인서트</x:v>
      </x:c>
      <x:c r="H40" s="16" t="str">
        <x:v>📢</x:v>
      </x:c>
      <x:c r="I40" s="16" t="str">
        <x:v>01-1-2</x:v>
      </x:c>
      <x:c r="J40" s="16" t="str">
        <x:v>바닥·난간·철문</x:v>
      </x:c>
      <x:c r="K40" s="16" t="str">
        <x:v>하단. 두 사람 발 위치. 반보 차이가 눈에 보이게</x:v>
      </x:c>
      <x:c r="L40" s="16" t="str">
        <x:v>나레이션: 누가 정한 적은 없었다.</x:v>
      </x:c>
      <x:c r="M40" s="16" t="str"/>
      <x:c r="N40" s="16" t="str">
        <x:v>300px · 여백 극</x:v>
      </x:c>
      <x:c r="O40" s="16" t="str">
        <x:v>Close on the lower frame. Two pairs of boots. The half-step gap must be clearly visible.</x:v>
      </x:c>
      <x:c r="P40" s="16" t="n">
        <x:v>539</x:v>
      </x:c>
      <x:c r="Q40" s="16" t="str">
        <x:v>SOURCE</x:v>
      </x:c>
    </x:row>
    <x:row r="41" ht="66" customHeight="1">
      <x:c r="A41" s="16" t="str">
        <x:v>B040-040</x:v>
      </x:c>
      <x:c r="B41" s="16" t="str">
        <x:v>040</x:v>
      </x:c>
      <x:c r="C41" s="16" t="str">
        <x:v>040</x:v>
      </x:c>
      <x:c r="D41" s="16" t="n">
        <x:v>1</x:v>
      </x:c>
      <x:c r="E41" s="16" t="str">
        <x:v>EP01-S03</x:v>
      </x:c>
      <x:c r="F41" s="16" t="str">
        <x:v>3절 반보 뒤</x:v>
      </x:c>
      <x:c r="G41" s="16" t="str">
        <x:v>CU 분할</x:v>
      </x:c>
      <x:c r="H41" s="16" t="str"/>
      <x:c r="I41" s="16" t="str">
        <x:v>01-1-3</x:v>
      </x:c>
      <x:c r="J41" s="16" t="str">
        <x:v>옥상 근접판</x:v>
      </x:c>
      <x:c r="K41" s="16" t="str">
        <x:v>라이터 불 ↔ 배경 황혼. 정확히 같은 색</x:v>
      </x:c>
      <x:c r="L41" s="16" t="str"/>
      <x:c r="M41" s="16" t="str">
        <x:v>착—</x:v>
      </x:c>
      <x:c r="N41" s="16" t="str">
        <x:v>360px · 여백 중</x:v>
      </x:c>
      <x:c r="O41" s="16" t="str">
        <x:v>A lighter flame against the twilight sky. Exactly the same color.</x:v>
      </x:c>
      <x:c r="P41" s="16" t="n">
        <x:v>552</x:v>
      </x:c>
      <x:c r="Q41" s="16" t="str">
        <x:v>SOURCE</x:v>
      </x:c>
    </x:row>
    <x:row r="42" ht="66" customHeight="1">
      <x:c r="A42" s="16" t="str">
        <x:v>B041-041</x:v>
      </x:c>
      <x:c r="B42" s="16" t="str">
        <x:v>041</x:v>
      </x:c>
      <x:c r="C42" s="16" t="str">
        <x:v>041</x:v>
      </x:c>
      <x:c r="D42" s="16" t="n">
        <x:v>1</x:v>
      </x:c>
      <x:c r="E42" s="16" t="str">
        <x:v>EP01-S03</x:v>
      </x:c>
      <x:c r="F42" s="16" t="str">
        <x:v>3절 반보 뒤</x:v>
      </x:c>
      <x:c r="G42" s="16" t="str">
        <x:v>MS 뒤에서</x:v>
      </x:c>
      <x:c r="H42" s="16" t="str"/>
      <x:c r="I42" s="16" t="str">
        <x:v>01-1-2</x:v>
      </x:c>
      <x:c r="J42" s="16" t="str">
        <x:v>바닥·난간·철문</x:v>
      </x:c>
      <x:c r="K42" s="16" t="str">
        <x:v>카인. 아인은 돌아보지 않는다. 연기를 뱉는다</x:v>
      </x:c>
      <x:c r="L42" s="16" t="str">
        <x:v>대사 · 카인: 「어이, 아인. 쓸데없는 감상에 젖어있을 시간 없다. / 마태오 영감이 지하 인력사무소에서 부른다. / 오늘 들어온 의뢰… 핏값이 제법 두둑해.」</x:v>
      </x:c>
      <x:c r="M42" s="16" t="str"/>
      <x:c r="N42" s="16" t="str">
        <x:v>470px · 여백 좁</x:v>
      </x:c>
      <x:c r="O42" s="16" t="str">
        <x:v>From behind. A large man exhaling smoke. The woman ahead does not turn.</x:v>
      </x:c>
      <x:c r="P42" s="16" t="n">
        <x:v>565</x:v>
      </x:c>
      <x:c r="Q42" s="16" t="str">
        <x:v>SOURCE</x:v>
      </x:c>
    </x:row>
    <x:row r="43" ht="66" customHeight="1">
      <x:c r="A43" s="16" t="str">
        <x:v>B042-042</x:v>
      </x:c>
      <x:c r="B43" s="16" t="str">
        <x:v>042</x:v>
      </x:c>
      <x:c r="C43" s="16" t="str">
        <x:v>042</x:v>
      </x:c>
      <x:c r="D43" s="16" t="n">
        <x:v>1</x:v>
      </x:c>
      <x:c r="E43" s="16" t="str">
        <x:v>EP01-S03</x:v>
      </x:c>
      <x:c r="F43" s="16" t="str">
        <x:v>3절 반보 뒤</x:v>
      </x:c>
      <x:c r="G43" s="16" t="str">
        <x:v>CU</x:v>
      </x:c>
      <x:c r="H43" s="16" t="str"/>
      <x:c r="I43" s="16" t="str">
        <x:v>01-1-3</x:v>
      </x:c>
      <x:c r="J43" s="16" t="str">
        <x:v>옥상 근접판</x:v>
      </x:c>
      <x:c r="K43" s="16" t="str">
        <x:v>카인. 눈은 웃지 않는다</x:v>
      </x:c>
      <x:c r="L43" s="16" t="str">
        <x:v>대사 · 카인: 「두둑하다는 건 그만큼 죽기 좋다는 뜻이지만.」</x:v>
      </x:c>
      <x:c r="M43" s="16" t="str"/>
      <x:c r="N43" s="16" t="str">
        <x:v>400px · 여백 중</x:v>
      </x:c>
      <x:c r="O43" s="16" t="str">
        <x:v>Close on a large man. His mouth smiles, his eyes do not.</x:v>
      </x:c>
      <x:c r="P43" s="16" t="n">
        <x:v>578</x:v>
      </x:c>
      <x:c r="Q43" s="16" t="str">
        <x:v>SOURCE</x:v>
      </x:c>
    </x:row>
    <x:row r="44" ht="66" customHeight="1">
      <x:c r="A44" s="16" t="str">
        <x:v>B043-043</x:v>
      </x:c>
      <x:c r="B44" s="16" t="str">
        <x:v>043</x:v>
      </x:c>
      <x:c r="C44" s="16" t="str">
        <x:v>043</x:v>
      </x:c>
      <x:c r="D44" s="16" t="n">
        <x:v>1</x:v>
      </x:c>
      <x:c r="E44" s="16" t="str">
        <x:v>EP01-S03</x:v>
      </x:c>
      <x:c r="F44" s="16" t="str">
        <x:v>3절 반보 뒤</x:v>
      </x:c>
      <x:c r="G44" s="16" t="str">
        <x:v>ECU</x:v>
      </x:c>
      <x:c r="H44" s="16" t="str">
        <x:v>🤫</x:v>
      </x:c>
      <x:c r="I44" s="16" t="str">
        <x:v>01-1-3</x:v>
      </x:c>
      <x:c r="J44" s="16" t="str">
        <x:v>옥상 근접판</x:v>
      </x:c>
      <x:c r="K44" s="16" t="str">
        <x:v>아인의 손가락 마디에 힘이 들어갔다 풀린다</x:v>
      </x:c>
      <x:c r="L44" s="16" t="str"/>
      <x:c r="M44" s="16" t="str"/>
      <x:c r="N44" s="16" t="str">
        <x:v>340px · 여백 좁</x:v>
      </x:c>
      <x:c r="O44" s="16" t="str">
        <x:v>Extreme close on knuckles tightening then releasing.</x:v>
      </x:c>
      <x:c r="P44" s="16" t="n">
        <x:v>591</x:v>
      </x:c>
      <x:c r="Q44" s="16" t="str">
        <x:v>SOURCE</x:v>
      </x:c>
    </x:row>
    <x:row r="45" ht="66" customHeight="1">
      <x:c r="A45" s="16" t="str">
        <x:v>B044-044</x:v>
      </x:c>
      <x:c r="B45" s="16" t="str">
        <x:v>044</x:v>
      </x:c>
      <x:c r="C45" s="16" t="str">
        <x:v>044</x:v>
      </x:c>
      <x:c r="D45" s="16" t="n">
        <x:v>1</x:v>
      </x:c>
      <x:c r="E45" s="16" t="str">
        <x:v>EP01-S03</x:v>
      </x:c>
      <x:c r="F45" s="16" t="str">
        <x:v>3절 반보 뒤</x:v>
      </x:c>
      <x:c r="G45" s="16" t="str">
        <x:v>CU 측면</x:v>
      </x:c>
      <x:c r="H45" s="16" t="str"/>
      <x:c r="I45" s="16" t="str">
        <x:v>01-1-3</x:v>
      </x:c>
      <x:c r="J45" s="16" t="str">
        <x:v>옥상 근접판</x:v>
      </x:c>
      <x:c r="K45" s="16" t="str">
        <x:v>천천히 고개를 든다. 표정 변화 없음, 턱만 굳어 있다</x:v>
      </x:c>
      <x:c r="L45" s="16" t="str">
        <x:v>대사 · 아인: 「…알아. 그 피비린내 나는 지하로 내려갈 시간이라는 걸.」</x:v>
      </x:c>
      <x:c r="M45" s="16" t="str"/>
      <x:c r="N45" s="16" t="str">
        <x:v>560px · 여백 넓</x:v>
      </x:c>
      <x:c r="O45" s="16" t="str">
        <x:v>Side view. A young woman slowly lifting her head. No change of expression, only a set jaw.</x:v>
      </x:c>
      <x:c r="P45" s="16" t="n">
        <x:v>603</x:v>
      </x:c>
      <x:c r="Q45" s="16" t="str">
        <x:v>SOURCE</x:v>
      </x:c>
    </x:row>
    <x:row r="46" ht="66" customHeight="1">
      <x:c r="A46" s="16" t="str">
        <x:v>B045-045</x:v>
      </x:c>
      <x:c r="B46" s="16" t="str">
        <x:v>045</x:v>
      </x:c>
      <x:c r="C46" s="16" t="str">
        <x:v>045</x:v>
      </x:c>
      <x:c r="D46" s="16" t="n">
        <x:v>1</x:v>
      </x:c>
      <x:c r="E46" s="16" t="str">
        <x:v>EP01-S03</x:v>
      </x:c>
      <x:c r="F46" s="16" t="str">
        <x:v>3절 반보 뒤</x:v>
      </x:c>
      <x:c r="G46" s="16" t="str">
        <x:v>세로 3단</x:v>
      </x:c>
      <x:c r="H46" s="16" t="str">
        <x:v>⭐🤫</x:v>
      </x:c>
      <x:c r="I46" s="16" t="str">
        <x:v>01-1-2</x:v>
      </x:c>
      <x:c r="J46" s="16" t="str">
        <x:v>바닥·난간·철문</x:v>
      </x:c>
      <x:c r="K46" s="16" t="str">
        <x:v>위: 담배를 발로 비벼 끈다, 아직 절반 남았다 / 가운데: 그것을 주워 주머니에 넣는 손 / 아래: CU 아인. 봤다. 시선이 잠깐 머물렀다 떨어진다</x:v>
      </x:c>
      <x:c r="L46" s="16" t="str"/>
      <x:c r="M46" s="16" t="str"/>
      <x:c r="N46" s="16" t="str">
        <x:v>780px · 여백 극</x:v>
      </x:c>
      <x:c r="O46" s="16" t="str">
        <x:v>Three stacked panels: a boot grinding out a cigarette still half unsmoked, a hand picking it up and pocketing it, a woman's eyes resting on it then looking away. NO DIALOGUE.</x:v>
      </x:c>
      <x:c r="P46" s="16" t="n">
        <x:v>616</x:v>
      </x:c>
      <x:c r="Q46" s="16" t="str">
        <x:v>SOURCE</x:v>
      </x:c>
    </x:row>
    <x:row r="47" ht="66" customHeight="1">
      <x:c r="A47" s="16" t="str">
        <x:v>B046-046</x:v>
      </x:c>
      <x:c r="B47" s="16" t="str">
        <x:v>046</x:v>
      </x:c>
      <x:c r="C47" s="16" t="str">
        <x:v>046</x:v>
      </x:c>
      <x:c r="D47" s="16" t="n">
        <x:v>1</x:v>
      </x:c>
      <x:c r="E47" s="16" t="str">
        <x:v>EP01-S04</x:v>
      </x:c>
      <x:c r="F47" s="16" t="str">
        <x:v>4절 사람이 사는 곳</x:v>
      </x:c>
      <x:c r="G47" s="16" t="str">
        <x:v>극세로 부감</x:v>
      </x:c>
      <x:c r="H47" s="16" t="str"/>
      <x:c r="I47" s="16" t="str">
        <x:v>03-1-2</x:v>
      </x:c>
      <x:c r="J47" s="16" t="str">
        <x:v>벙커 계단</x:v>
      </x:c>
      <x:c r="K47" s="16" t="str">
        <x:v>끝없는 나선 계단. 두 사람이 아주 작다</x:v>
      </x:c>
      <x:c r="L47" s="16" t="str"/>
      <x:c r="M47" s="16" t="str"/>
      <x:c r="N47" s="16" t="str">
        <x:v>420px · 여백 좁</x:v>
      </x:c>
      <x:c r="O47" s="16" t="str">
        <x:v>Place two small figures descending a spiral staircase, seen from high above. They are tiny in the frame.</x:v>
      </x:c>
      <x:c r="P47" s="16" t="n">
        <x:v>634</x:v>
      </x:c>
      <x:c r="Q47" s="16" t="str">
        <x:v>SOURCE</x:v>
      </x:c>
    </x:row>
    <x:row r="48" ht="66" customHeight="1">
      <x:c r="A48" s="16" t="str">
        <x:v>B047-047</x:v>
      </x:c>
      <x:c r="B48" s="16" t="str">
        <x:v>047</x:v>
      </x:c>
      <x:c r="C48" s="16" t="str">
        <x:v>047</x:v>
      </x:c>
      <x:c r="D48" s="16" t="n">
        <x:v>1</x:v>
      </x:c>
      <x:c r="E48" s="16" t="str">
        <x:v>EP01-S04</x:v>
      </x:c>
      <x:c r="F48" s="16" t="str">
        <x:v>4절 사람이 사는 곳</x:v>
      </x:c>
      <x:c r="G48" s="16" t="str">
        <x:v>인서트</x:v>
      </x:c>
      <x:c r="H48" s="16" t="str"/>
      <x:c r="I48" s="16" t="str">
        <x:v>03-1-2</x:v>
      </x:c>
      <x:c r="J48" s="16" t="str">
        <x:v>벙커 계단</x:v>
      </x:c>
      <x:c r="K48" s="16" t="str">
        <x:v>천장 조명이 명멸한다</x:v>
      </x:c>
      <x:c r="L48" s="16" t="str">
        <x:v>나레이션: 발전기가 늙었다는 뜻이었다.</x:v>
      </x:c>
      <x:c r="M48" s="16" t="str"/>
      <x:c r="N48" s="16" t="str">
        <x:v>380px · 여백 중</x:v>
      </x:c>
      <x:c r="O48" s="16" t="str">
        <x:v>Close on a flickering fluorescent tube on the ceiling. No figures.</x:v>
      </x:c>
      <x:c r="P48" s="16" t="n">
        <x:v>646</x:v>
      </x:c>
      <x:c r="Q48" s="16" t="str">
        <x:v>SOURCE</x:v>
      </x:c>
    </x:row>
    <x:row r="49" ht="66" customHeight="1">
      <x:c r="A49" s="16" t="str">
        <x:v>B048-048</x:v>
      </x:c>
      <x:c r="B49" s="16" t="str">
        <x:v>048</x:v>
      </x:c>
      <x:c r="C49" s="16" t="str">
        <x:v>048</x:v>
      </x:c>
      <x:c r="D49" s="16" t="n">
        <x:v>1</x:v>
      </x:c>
      <x:c r="E49" s="16" t="str">
        <x:v>EP01-S04</x:v>
      </x:c>
      <x:c r="F49" s="16" t="str">
        <x:v>4절 사람이 사는 곳</x:v>
      </x:c>
      <x:c r="G49" s="16" t="str">
        <x:v>EWIDE 블리드</x:v>
      </x:c>
      <x:c r="H49" s="16" t="str"/>
      <x:c r="I49" s="16" t="str">
        <x:v>03-1</x:v>
      </x:c>
      <x:c r="J49" s="16" t="str">
        <x:v>벙커 통로</x:v>
      </x:c>
      <x:c r="K49" s="16" t="str">
        <x:v>철문이 열리는 순간 소리가 쏟아진다. 벙커 중앙 통로 전경</x:v>
      </x:c>
      <x:c r="L49" s="16" t="str"/>
      <x:c r="M49" s="16" t="str">
        <x:v>왁자— 쨍— 딸그락</x:v>
      </x:c>
      <x:c r="N49" s="16" t="str">
        <x:v>1,500px · 여백 넓</x:v>
      </x:c>
      <x:c r="O49" s="16" t="str">
        <x:v>Wide bunker corridor bustling with life. No visible faces. Market stalls both sides.</x:v>
      </x:c>
      <x:c r="P49" s="16" t="n">
        <x:v>659</x:v>
      </x:c>
      <x:c r="Q49" s="16" t="str">
        <x:v>SOURCE</x:v>
      </x:c>
    </x:row>
    <x:row r="50" ht="66" customHeight="1">
      <x:c r="A50" s="16" t="str">
        <x:v>B049-049</x:v>
      </x:c>
      <x:c r="B50" s="16" t="str">
        <x:v>049</x:v>
      </x:c>
      <x:c r="C50" s="16" t="str">
        <x:v>049</x:v>
      </x:c>
      <x:c r="D50" s="16" t="n">
        <x:v>1</x:v>
      </x:c>
      <x:c r="E50" s="16" t="str">
        <x:v>EP01-S04</x:v>
      </x:c>
      <x:c r="F50" s="16" t="str">
        <x:v>4절 사람이 사는 곳</x:v>
      </x:c>
      <x:c r="G50" s="16" t="str">
        <x:v>MS</x:v>
      </x:c>
      <x:c r="H50" s="16" t="str"/>
      <x:c r="I50" s="16" t="str">
        <x:v>03-1</x:v>
      </x:c>
      <x:c r="J50" s="16" t="str">
        <x:v>벙커 통로</x:v>
      </x:c>
      <x:c r="K50" s="16" t="str">
        <x:v>배급 줄. 사람들이 깡통을 들고 서 있다</x:v>
      </x:c>
      <x:c r="L50" s="16" t="str"/>
      <x:c r="M50" s="16" t="str"/>
      <x:c r="N50" s="16" t="str">
        <x:v>400px · 여백 좁</x:v>
      </x:c>
      <x:c r="O50" s="16" t="str">
        <x:v>A ration queue of people holding tins, seen from behind. Faces not visible.</x:v>
      </x:c>
      <x:c r="P50" s="16" t="n">
        <x:v>672</x:v>
      </x:c>
      <x:c r="Q50" s="16" t="str">
        <x:v>SOURCE</x:v>
      </x:c>
    </x:row>
    <x:row r="51" ht="66" customHeight="1">
      <x:c r="A51" s="16" t="str">
        <x:v>B050-050</x:v>
      </x:c>
      <x:c r="B51" s="16" t="str">
        <x:v>050</x:v>
      </x:c>
      <x:c r="C51" s="16" t="str">
        <x:v>050</x:v>
      </x:c>
      <x:c r="D51" s="16" t="n">
        <x:v>1</x:v>
      </x:c>
      <x:c r="E51" s="16" t="str">
        <x:v>EP01-S04</x:v>
      </x:c>
      <x:c r="F51" s="16" t="str">
        <x:v>4절 사람이 사는 곳</x:v>
      </x:c>
      <x:c r="G51" s="16" t="str">
        <x:v>MS</x:v>
      </x:c>
      <x:c r="H51" s="16" t="str"/>
      <x:c r="I51" s="16" t="str">
        <x:v>03-1</x:v>
      </x:c>
      <x:c r="J51" s="16" t="str">
        <x:v>벙커 통로</x:v>
      </x:c>
      <x:c r="K51" s="16" t="str">
        <x:v>좌판. 나사·전선·깡통이 널려 있다</x:v>
      </x:c>
      <x:c r="L51" s="16" t="str"/>
      <x:c r="M51" s="16" t="str"/>
      <x:c r="N51" s="16" t="str">
        <x:v>400px · 여백 좁</x:v>
      </x:c>
      <x:c r="O51" s="16" t="str">
        <x:v>Close on a makeshift stall covered with screws, wire, tins.</x:v>
      </x:c>
      <x:c r="P51" s="16" t="n">
        <x:v>684</x:v>
      </x:c>
      <x:c r="Q51" s="16" t="str">
        <x:v>SOURCE</x:v>
      </x:c>
    </x:row>
    <x:row r="52" ht="66" customHeight="1">
      <x:c r="A52" s="16" t="str">
        <x:v>B051-051</x:v>
      </x:c>
      <x:c r="B52" s="16" t="str">
        <x:v>051</x:v>
      </x:c>
      <x:c r="C52" s="16" t="str">
        <x:v>051</x:v>
      </x:c>
      <x:c r="D52" s="16" t="n">
        <x:v>1</x:v>
      </x:c>
      <x:c r="E52" s="16" t="str">
        <x:v>EP01-S04</x:v>
      </x:c>
      <x:c r="F52" s="16" t="str">
        <x:v>4절 사람이 사는 곳</x:v>
      </x:c>
      <x:c r="G52" s="16" t="str">
        <x:v>CU</x:v>
      </x:c>
      <x:c r="H52" s="16" t="str"/>
      <x:c r="I52" s="16" t="str">
        <x:v>03-1</x:v>
      </x:c>
      <x:c r="J52" s="16" t="str">
        <x:v>벙커 통로</x:v>
      </x:c>
      <x:c r="K52" s="16" t="str">
        <x:v>아이 둘이 뛰어 지나간다. 웃고 있다</x:v>
      </x:c>
      <x:c r="L52" s="16" t="str"/>
      <x:c r="M52" s="16" t="str"/>
      <x:c r="N52" s="16" t="str">
        <x:v>400px · 여백 중</x:v>
      </x:c>
      <x:c r="O52" s="16" t="str">
        <x:v>Two children running past, laughing, motion blur. Seen from a low angle.</x:v>
      </x:c>
      <x:c r="P52" s="16" t="n">
        <x:v>696</x:v>
      </x:c>
      <x:c r="Q52" s="16" t="str">
        <x:v>SOURCE</x:v>
      </x:c>
    </x:row>
    <x:row r="53" ht="66" customHeight="1">
      <x:c r="A53" s="16" t="str">
        <x:v>B052-052</x:v>
      </x:c>
      <x:c r="B53" s="16" t="str">
        <x:v>052</x:v>
      </x:c>
      <x:c r="C53" s="16" t="str">
        <x:v>052</x:v>
      </x:c>
      <x:c r="D53" s="16" t="n">
        <x:v>1</x:v>
      </x:c>
      <x:c r="E53" s="16" t="str">
        <x:v>EP01-S04</x:v>
      </x:c>
      <x:c r="F53" s="16" t="str">
        <x:v>4절 사람이 사는 곳</x:v>
      </x:c>
      <x:c r="G53" s="16" t="str">
        <x:v>MS</x:v>
      </x:c>
      <x:c r="H53" s="16" t="str"/>
      <x:c r="I53" s="16" t="str">
        <x:v>03-1</x:v>
      </x:c>
      <x:c r="J53" s="16" t="str">
        <x:v>벙커 통로</x:v>
      </x:c>
      <x:c r="K53" s="16" t="str">
        <x:v>벽에 붙은 배급표. 손으로 고친 자국이 여럿</x:v>
      </x:c>
      <x:c r="L53" s="16" t="str"/>
      <x:c r="M53" s="16" t="str"/>
      <x:c r="N53" s="16" t="str">
        <x:v>380px · 여백 좁</x:v>
      </x:c>
      <x:c r="O53" s="16" t="str">
        <x:v>A ration schedule taped to a concrete wall, hand-corrected many times.</x:v>
      </x:c>
      <x:c r="P53" s="16" t="n">
        <x:v>708</x:v>
      </x:c>
      <x:c r="Q53" s="16" t="str">
        <x:v>SOURCE</x:v>
      </x:c>
    </x:row>
    <x:row r="54" ht="66" customHeight="1">
      <x:c r="A54" s="16" t="str">
        <x:v>B053-053</x:v>
      </x:c>
      <x:c r="B54" s="16" t="str">
        <x:v>053</x:v>
      </x:c>
      <x:c r="C54" s="16" t="str">
        <x:v>053</x:v>
      </x:c>
      <x:c r="D54" s="16" t="n">
        <x:v>1</x:v>
      </x:c>
      <x:c r="E54" s="16" t="str">
        <x:v>EP01-S04</x:v>
      </x:c>
      <x:c r="F54" s="16" t="str">
        <x:v>4절 사람이 사는 곳</x:v>
      </x:c>
      <x:c r="G54" s="16" t="str">
        <x:v>MS</x:v>
      </x:c>
      <x:c r="H54" s="16" t="str">
        <x:v>🎣</x:v>
      </x:c>
      <x:c r="I54" s="16" t="str">
        <x:v>03-1-1</x:v>
      </x:c>
      <x:c r="J54" s="16" t="str">
        <x:v>벙커 천장</x:v>
      </x:c>
      <x:c r="K54" s="16" t="str">
        <x:v>천장 배관. 콘크리트에 금 하나 없다</x:v>
      </x:c>
      <x:c r="L54" s="16" t="str"/>
      <x:c r="M54" s="16" t="str"/>
      <x:c r="N54" s="16" t="str">
        <x:v>400px · 여백 중</x:v>
      </x:c>
      <x:c r="O54" s="16" t="str">
        <x:v>Bunker ceiling pipes. The concrete is flawless, not a single crack. Do not emphasize.</x:v>
      </x:c>
      <x:c r="P54" s="16" t="n">
        <x:v>720</x:v>
      </x:c>
      <x:c r="Q54" s="16" t="str">
        <x:v>SOURCE</x:v>
      </x:c>
    </x:row>
    <x:row r="55" ht="66" customHeight="1">
      <x:c r="A55" s="16" t="str">
        <x:v>B054-054</x:v>
      </x:c>
      <x:c r="B55" s="16" t="str">
        <x:v>054</x:v>
      </x:c>
      <x:c r="C55" s="16" t="str">
        <x:v>054</x:v>
      </x:c>
      <x:c r="D55" s="16" t="n">
        <x:v>1</x:v>
      </x:c>
      <x:c r="E55" s="16" t="str">
        <x:v>EP01-S04</x:v>
      </x:c>
      <x:c r="F55" s="16" t="str">
        <x:v>4절 사람이 사는 곳</x:v>
      </x:c>
      <x:c r="G55" s="16" t="str">
        <x:v>CU 카인</x:v>
      </x:c>
      <x:c r="H55" s="16" t="str">
        <x:v>🎣</x:v>
      </x:c>
      <x:c r="I55" s="16" t="str">
        <x:v>03-1-1</x:v>
      </x:c>
      <x:c r="J55" s="16" t="str">
        <x:v>벙커 천장</x:v>
      </x:c>
      <x:c r="K55" s="16" t="str">
        <x:v>지나가며 위를 한 번 본다</x:v>
      </x:c>
      <x:c r="L55" s="16" t="str">
        <x:v>대사 · 카인: 「이 벙커는 왜 이렇게 멀쩡한 거지.」</x:v>
      </x:c>
      <x:c r="M55" s="16" t="str"/>
      <x:c r="N55" s="16" t="str">
        <x:v>400px · 여백 좁</x:v>
      </x:c>
      <x:c r="O55" s="16" t="str">
        <x:v>A large man glances up at the ceiling while walking past.</x:v>
      </x:c>
      <x:c r="P55" s="16" t="n">
        <x:v>732</x:v>
      </x:c>
      <x:c r="Q55" s="16" t="str">
        <x:v>SOURCE</x:v>
      </x:c>
    </x:row>
    <x:row r="56" ht="66" customHeight="1">
      <x:c r="A56" s="16" t="str">
        <x:v>B055-055</x:v>
      </x:c>
      <x:c r="B56" s="16" t="str">
        <x:v>055</x:v>
      </x:c>
      <x:c r="C56" s="16" t="str">
        <x:v>055</x:v>
      </x:c>
      <x:c r="D56" s="16" t="n">
        <x:v>1</x:v>
      </x:c>
      <x:c r="E56" s="16" t="str">
        <x:v>EP01-S04</x:v>
      </x:c>
      <x:c r="F56" s="16" t="str">
        <x:v>4절 사람이 사는 곳</x:v>
      </x:c>
      <x:c r="G56" s="16" t="str">
        <x:v>MS 아인</x:v>
      </x:c>
      <x:c r="H56" s="16" t="str">
        <x:v>🤫</x:v>
      </x:c>
      <x:c r="I56" s="16" t="str">
        <x:v>03-1-3</x:v>
      </x:c>
      <x:c r="J56" s="16" t="str">
        <x:v>벙커 근접판</x:v>
      </x:c>
      <x:c r="K56" s="16" t="str">
        <x:v>대답하지 않는다. 걷는다</x:v>
      </x:c>
      <x:c r="L56" s="16" t="str"/>
      <x:c r="M56" s="16" t="str"/>
      <x:c r="N56" s="16" t="str">
        <x:v>400px · 여백 좁</x:v>
      </x:c>
      <x:c r="O56" s="16" t="str">
        <x:v>A young woman with a scythe walking forward, not looking back. Bust to waist.</x:v>
      </x:c>
      <x:c r="P56" s="16" t="n">
        <x:v>745</x:v>
      </x:c>
      <x:c r="Q56" s="16" t="str">
        <x:v>SOURCE</x:v>
      </x:c>
    </x:row>
    <x:row r="57" ht="66" customHeight="1">
      <x:c r="A57" s="16" t="str">
        <x:v>B056-056</x:v>
      </x:c>
      <x:c r="B57" s="16" t="str">
        <x:v>056</x:v>
      </x:c>
      <x:c r="C57" s="16" t="str">
        <x:v>056</x:v>
      </x:c>
      <x:c r="D57" s="16" t="n">
        <x:v>1</x:v>
      </x:c>
      <x:c r="E57" s="16" t="str">
        <x:v>EP01-S04</x:v>
      </x:c>
      <x:c r="F57" s="16" t="str">
        <x:v>4절 사람이 사는 곳</x:v>
      </x:c>
      <x:c r="G57" s="16" t="str">
        <x:v>WIDE</x:v>
      </x:c>
      <x:c r="H57" s="16" t="str">
        <x:v>🎭</x:v>
      </x:c>
      <x:c r="I57" s="16" t="str">
        <x:v>03-1</x:v>
      </x:c>
      <x:c r="J57" s="16" t="str">
        <x:v>벙커 통로</x:v>
      </x:c>
      <x:c r="K57" s="16" t="str">
        <x:v>두 사람이 인파 사이를 지난다. 아무도 쳐다보지 않는다</x:v>
      </x:c>
      <x:c r="L57" s="16" t="str"/>
      <x:c r="M57" s="16" t="str"/>
      <x:c r="N57" s="16" t="str">
        <x:v>470px · 여백 넓</x:v>
      </x:c>
      <x:c r="O57" s="16" t="str">
        <x:v>Two figures walking through a crowd. Nobody looks at them.</x:v>
      </x:c>
      <x:c r="P57" s="16" t="n">
        <x:v>757</x:v>
      </x:c>
      <x:c r="Q57" s="16" t="str">
        <x:v>SOURCE</x:v>
      </x:c>
    </x:row>
    <x:row r="58" ht="66" customHeight="1">
      <x:c r="A58" s="16" t="str">
        <x:v>B057-057</x:v>
      </x:c>
      <x:c r="B58" s="16" t="str">
        <x:v>057</x:v>
      </x:c>
      <x:c r="C58" s="16" t="str">
        <x:v>057</x:v>
      </x:c>
      <x:c r="D58" s="16" t="n">
        <x:v>1</x:v>
      </x:c>
      <x:c r="E58" s="16" t="str">
        <x:v>EP01-S04</x:v>
      </x:c>
      <x:c r="F58" s="16" t="str">
        <x:v>4절 사람이 사는 곳</x:v>
      </x:c>
      <x:c r="G58" s="16" t="str">
        <x:v>CU</x:v>
      </x:c>
      <x:c r="H58" s="16" t="str"/>
      <x:c r="I58" s="16" t="str">
        <x:v>03-1-3</x:v>
      </x:c>
      <x:c r="J58" s="16" t="str">
        <x:v>벙커 근접판</x:v>
      </x:c>
      <x:c r="K58" s="16" t="str">
        <x:v>아인의 목에 아무것도 걸려 있지 않다. 빈 목</x:v>
      </x:c>
      <x:c r="L58" s="16" t="str"/>
      <x:c r="M58" s="16" t="str"/>
      <x:c r="N58" s="16" t="str">
        <x:v>380px · 여백 중</x:v>
      </x:c>
      <x:c r="O58" s="16" t="str">
        <x:v>Extreme close on a bare neck and collarbone. Nothing hanging there.</x:v>
      </x:c>
      <x:c r="P58" s="16" t="n">
        <x:v>769</x:v>
      </x:c>
      <x:c r="Q58" s="16" t="str">
        <x:v>SOURCE</x:v>
      </x:c>
    </x:row>
    <x:row r="59" ht="66" customHeight="1">
      <x:c r="A59" s="16" t="str">
        <x:v>B058-058</x:v>
      </x:c>
      <x:c r="B59" s="16" t="str">
        <x:v>058</x:v>
      </x:c>
      <x:c r="C59" s="16" t="str">
        <x:v>058</x:v>
      </x:c>
      <x:c r="D59" s="16" t="n">
        <x:v>1</x:v>
      </x:c>
      <x:c r="E59" s="16" t="str">
        <x:v>EP01-S04</x:v>
      </x:c>
      <x:c r="F59" s="16" t="str">
        <x:v>4절 사람이 사는 곳</x:v>
      </x:c>
      <x:c r="G59" s="16" t="str">
        <x:v>MS</x:v>
      </x:c>
      <x:c r="H59" s="16" t="str"/>
      <x:c r="I59" s="16" t="str">
        <x:v>03-1-3</x:v>
      </x:c>
      <x:c r="J59" s="16" t="str">
        <x:v>벙커 근접판</x:v>
      </x:c>
      <x:c r="K59" s="16" t="str">
        <x:v>통로 끝. 어두운 계단이 아래로 이어진다</x:v>
      </x:c>
      <x:c r="L59" s="16" t="str"/>
      <x:c r="M59" s="16" t="str"/>
      <x:c r="N59" s="16" t="str">
        <x:v>430px · 여백 넓</x:v>
      </x:c>
      <x:c r="O59" s="16" t="str">
        <x:v>The end of a corridor where a dark staircase leads further down.</x:v>
      </x:c>
      <x:c r="P59" s="16" t="n">
        <x:v>781</x:v>
      </x:c>
      <x:c r="Q59" s="16" t="str">
        <x:v>SOURCE</x:v>
      </x:c>
    </x:row>
    <x:row r="60" ht="66" customHeight="1">
      <x:c r="A60" s="16" t="str">
        <x:v>B059-059</x:v>
      </x:c>
      <x:c r="B60" s="16" t="str">
        <x:v>059</x:v>
      </x:c>
      <x:c r="C60" s="16" t="str">
        <x:v>059</x:v>
      </x:c>
      <x:c r="D60" s="16" t="n">
        <x:v>1</x:v>
      </x:c>
      <x:c r="E60" s="16" t="str">
        <x:v>EP01-S05</x:v>
      </x:c>
      <x:c r="F60" s="16" t="str">
        <x:v>5절 재촉</x:v>
      </x:c>
      <x:c r="G60" s="16" t="str">
        <x:v>MS</x:v>
      </x:c>
      <x:c r="H60" s="16" t="str"/>
      <x:c r="I60" s="16" t="str">
        <x:v>04-1</x:v>
      </x:c>
      <x:c r="J60" s="16" t="str">
        <x:v>대장간</x:v>
      </x:c>
      <x:c r="K60" s="16" t="str">
        <x:v>대장간. 화로가 붉게 타고 있다</x:v>
      </x:c>
      <x:c r="L60" s="16" t="str"/>
      <x:c r="M60" s="16" t="str">
        <x:v>화르륵</x:v>
      </x:c>
      <x:c r="N60" s="16" t="str">
        <x:v>430px · 여백 좁</x:v>
      </x:c>
      <x:c r="O60" s="16" t="str">
        <x:v>A forge burning in an underground workshop. Light comes from below.</x:v>
      </x:c>
      <x:c r="P60" s="16" t="n">
        <x:v>799</x:v>
      </x:c>
      <x:c r="Q60" s="16" t="str">
        <x:v>SOURCE</x:v>
      </x:c>
    </x:row>
    <x:row r="61" ht="66" customHeight="1">
      <x:c r="A61" s="16" t="str">
        <x:v>B060-060</x:v>
      </x:c>
      <x:c r="B61" s="16" t="str">
        <x:v>060</x:v>
      </x:c>
      <x:c r="C61" s="16" t="str">
        <x:v>060</x:v>
      </x:c>
      <x:c r="D61" s="16" t="n">
        <x:v>1</x:v>
      </x:c>
      <x:c r="E61" s="16" t="str">
        <x:v>EP01-S05</x:v>
      </x:c>
      <x:c r="F61" s="16" t="str">
        <x:v>5절 재촉</x:v>
      </x:c>
      <x:c r="G61" s="16" t="str">
        <x:v>MS</x:v>
      </x:c>
      <x:c r="H61" s="16" t="str"/>
      <x:c r="I61" s="16" t="str">
        <x:v>04-1</x:v>
      </x:c>
      <x:c r="J61" s="16" t="str">
        <x:v>대장간</x:v>
      </x:c>
      <x:c r="K61" s="16" t="str">
        <x:v>한 장인. 등이 굽었다. 돌아보지 않는다</x:v>
      </x:c>
      <x:c r="L61" s="16" t="str"/>
      <x:c r="M61" s="16" t="str"/>
      <x:c r="N61" s="16" t="str">
        <x:v>430px · 여백 좁</x:v>
      </x:c>
      <x:c r="O61" s="16" t="str">
        <x:v>An old craftsman with a bent back, seen from behind. He does not turn.</x:v>
      </x:c>
      <x:c r="P61" s="16" t="n">
        <x:v>812</x:v>
      </x:c>
      <x:c r="Q61" s="16" t="str">
        <x:v>SOURCE</x:v>
      </x:c>
    </x:row>
    <x:row r="62" ht="66" customHeight="1">
      <x:c r="A62" s="16" t="str">
        <x:v>B061-061</x:v>
      </x:c>
      <x:c r="B62" s="16" t="str">
        <x:v>061</x:v>
      </x:c>
      <x:c r="C62" s="16" t="str">
        <x:v>061</x:v>
      </x:c>
      <x:c r="D62" s="16" t="n">
        <x:v>1</x:v>
      </x:c>
      <x:c r="E62" s="16" t="str">
        <x:v>EP01-S05</x:v>
      </x:c>
      <x:c r="F62" s="16" t="str">
        <x:v>5절 재촉</x:v>
      </x:c>
      <x:c r="G62" s="16" t="str">
        <x:v>CU</x:v>
      </x:c>
      <x:c r="H62" s="16" t="str"/>
      <x:c r="I62" s="16" t="str">
        <x:v>04-1-3</x:v>
      </x:c>
      <x:c r="J62" s="16" t="str">
        <x:v>대장간 근접판</x:v>
      </x:c>
      <x:c r="K62" s="16" t="str">
        <x:v>낫을 받아 드는 두 손. 마디가 굵고 화상 자국이 많다</x:v>
      </x:c>
      <x:c r="L62" s="16" t="str"/>
      <x:c r="M62" s="16" t="str"/>
      <x:c r="N62" s="16" t="str">
        <x:v>400px · 여백 중</x:v>
      </x:c>
      <x:c r="O62" s="16" t="str">
        <x:v>Two weathered hands with thick knuckles and burn scars receiving a scythe.</x:v>
      </x:c>
      <x:c r="P62" s="16" t="n">
        <x:v>824</x:v>
      </x:c>
      <x:c r="Q62" s="16" t="str">
        <x:v>SOURCE</x:v>
      </x:c>
    </x:row>
    <x:row r="63" ht="66" customHeight="1">
      <x:c r="A63" s="16" t="str">
        <x:v>B062-065</x:v>
      </x:c>
      <x:c r="B63" s="16" t="str">
        <x:v>062</x:v>
      </x:c>
      <x:c r="C63" s="16" t="str">
        <x:v>065</x:v>
      </x:c>
      <x:c r="D63" s="16" t="n">
        <x:v>4</x:v>
      </x:c>
      <x:c r="E63" s="16" t="str">
        <x:v>EP01-S05</x:v>
      </x:c>
      <x:c r="F63" s="16" t="str">
        <x:v>5절 재촉</x:v>
      </x:c>
      <x:c r="G63" s="16" t="str">
        <x:v>인서트 4분할</x:v>
      </x:c>
      <x:c r="H63" s="16" t="str"/>
      <x:c r="I63" s="16" t="str">
        <x:v>04-1-3</x:v>
      </x:c>
      <x:c r="J63" s="16" t="str">
        <x:v>대장간 근접판</x:v>
      </x:c>
      <x:c r="K63" s="16" t="str">
        <x:v>① 눈높이에 들어 곡률을 본다 ② 끝자락을 훑는다 ③ 이음새를 두드린다 ④ 무게중심을 잡는다</x:v>
      </x:c>
      <x:c r="L63" s="16" t="str"/>
      <x:c r="M63" s="16" t="str">
        <x:v>탁</x:v>
      </x:c>
      <x:c r="N63" s="16" t="str">
        <x:v>900px · 여백 중</x:v>
      </x:c>
      <x:c r="O63" s="16" t="str">
        <x:v>Four stacked panels of the same hands inspecting a scythe: raising it to eye level, running a finger along the tip, tapping the joint, balancing it on the palm.</x:v>
      </x:c>
      <x:c r="P63" s="16" t="n">
        <x:v>836</x:v>
      </x:c>
      <x:c r="Q63" s="16" t="str">
        <x:v>SOURCE_SPLIT</x:v>
      </x:c>
    </x:row>
    <x:row r="64" ht="66" customHeight="1">
      <x:c r="A64" s="16" t="str">
        <x:v>B066-066</x:v>
      </x:c>
      <x:c r="B64" s="16" t="str">
        <x:v>066</x:v>
      </x:c>
      <x:c r="C64" s="16" t="str">
        <x:v>066</x:v>
      </x:c>
      <x:c r="D64" s="16" t="n">
        <x:v>1</x:v>
      </x:c>
      <x:c r="E64" s="16" t="str">
        <x:v>EP01-S05</x:v>
      </x:c>
      <x:c r="F64" s="16" t="str">
        <x:v>5절 재촉</x:v>
      </x:c>
      <x:c r="G64" s="16" t="str">
        <x:v>ECU</x:v>
      </x:c>
      <x:c r="H64" s="16" t="str">
        <x:v>⭐🤫</x:v>
      </x:c>
      <x:c r="I64" s="16" t="str">
        <x:v>04-1-3</x:v>
      </x:c>
      <x:c r="J64" s="16" t="str">
        <x:v>대장간 근접판</x:v>
      </x:c>
      <x:c r="K64" s="16" t="str">
        <x:v>손이 아주 미세하게 떨린다</x:v>
      </x:c>
      <x:c r="L64" s="16" t="str"/>
      <x:c r="M64" s="16" t="str"/>
      <x:c r="N64" s="16" t="str">
        <x:v>430px · 여백 극</x:v>
      </x:c>
      <x:c r="O64" s="16" t="str">
        <x:v>Extreme close on an old hand holding a scythe handle. A very faint tremor. No face.</x:v>
      </x:c>
      <x:c r="P64" s="16" t="n">
        <x:v>849</x:v>
      </x:c>
      <x:c r="Q64" s="16" t="str">
        <x:v>SOURCE</x:v>
      </x:c>
    </x:row>
    <x:row r="65" ht="66" customHeight="1">
      <x:c r="A65" s="16" t="str">
        <x:v>B067-067</x:v>
      </x:c>
      <x:c r="B65" s="16" t="str">
        <x:v>067</x:v>
      </x:c>
      <x:c r="C65" s="16" t="str">
        <x:v>067</x:v>
      </x:c>
      <x:c r="D65" s="16" t="n">
        <x:v>1</x:v>
      </x:c>
      <x:c r="E65" s="16" t="str">
        <x:v>EP01-S05</x:v>
      </x:c>
      <x:c r="F65" s="16" t="str">
        <x:v>5절 재촉</x:v>
      </x:c>
      <x:c r="G65" s="16" t="str">
        <x:v>CU 아인</x:v>
      </x:c>
      <x:c r="H65" s="16" t="str">
        <x:v>🤫</x:v>
      </x:c>
      <x:c r="I65" s="16" t="str">
        <x:v>04-1-3</x:v>
      </x:c>
      <x:c r="J65" s="16" t="str">
        <x:v>대장간 근접판</x:v>
      </x:c>
      <x:c r="K65" s="16" t="str">
        <x:v>봤다. 시선이 손에 머물렀다 떨어진다</x:v>
      </x:c>
      <x:c r="L65" s="16" t="str"/>
      <x:c r="M65" s="16" t="str"/>
      <x:c r="N65" s="16" t="str">
        <x:v>400px · 여백 극</x:v>
      </x:c>
      <x:c r="O65" s="16" t="str">
        <x:v>A young woman's eyes looking down at something off-frame, then away. No expression change.</x:v>
      </x:c>
      <x:c r="P65" s="16" t="n">
        <x:v>861</x:v>
      </x:c>
      <x:c r="Q65" s="16" t="str">
        <x:v>SOURCE</x:v>
      </x:c>
    </x:row>
    <x:row r="66" ht="66" customHeight="1">
      <x:c r="A66" s="16" t="str">
        <x:v>B068-068</x:v>
      </x:c>
      <x:c r="B66" s="16" t="str">
        <x:v>068</x:v>
      </x:c>
      <x:c r="C66" s="16" t="str">
        <x:v>068</x:v>
      </x:c>
      <x:c r="D66" s="16" t="n">
        <x:v>1</x:v>
      </x:c>
      <x:c r="E66" s="16" t="str">
        <x:v>EP01-S05</x:v>
      </x:c>
      <x:c r="F66" s="16" t="str">
        <x:v>5절 재촉</x:v>
      </x:c>
      <x:c r="G66" s="16" t="str">
        <x:v>MS</x:v>
      </x:c>
      <x:c r="H66" s="16" t="str">
        <x:v>🤫</x:v>
      </x:c>
      <x:c r="I66" s="16" t="str">
        <x:v>04-1-3</x:v>
      </x:c>
      <x:c r="J66" s="16" t="str">
        <x:v>대장간 근접판</x:v>
      </x:c>
      <x:c r="K66" s="16" t="str">
        <x:v>아인이 아무 말도 하지 않는다</x:v>
      </x:c>
      <x:c r="L66" s="16" t="str"/>
      <x:c r="M66" s="16" t="str"/>
      <x:c r="N66" s="16" t="str">
        <x:v>400px · 여백 극</x:v>
      </x:c>
      <x:c r="O66" s="16" t="str">
        <x:v>A young woman standing still in forge light, saying nothing.</x:v>
      </x:c>
      <x:c r="P66" s="16" t="n">
        <x:v>873</x:v>
      </x:c>
      <x:c r="Q66" s="16" t="str">
        <x:v>SOURCE</x:v>
      </x:c>
    </x:row>
    <x:row r="67" ht="66" customHeight="1">
      <x:c r="A67" s="16" t="str">
        <x:v>B069-069</x:v>
      </x:c>
      <x:c r="B67" s="16" t="str">
        <x:v>069</x:v>
      </x:c>
      <x:c r="C67" s="16" t="str">
        <x:v>069</x:v>
      </x:c>
      <x:c r="D67" s="16" t="n">
        <x:v>1</x:v>
      </x:c>
      <x:c r="E67" s="16" t="str">
        <x:v>EP01-S05</x:v>
      </x:c>
      <x:c r="F67" s="16" t="str">
        <x:v>5절 재촉</x:v>
      </x:c>
      <x:c r="G67" s="16" t="str">
        <x:v>MS 한 장인</x:v>
      </x:c>
      <x:c r="H67" s="16" t="str"/>
      <x:c r="I67" s="16" t="str">
        <x:v>04-1</x:v>
      </x:c>
      <x:c r="J67" s="16" t="str">
        <x:v>대장간</x:v>
      </x:c>
      <x:c r="K67" s="16" t="str">
        <x:v>낫을 돌려준다. 여전히 눈은 안 마주친다</x:v>
      </x:c>
      <x:c r="L67" s="16" t="str">
        <x:v>대사 · 장인: 「…날은 살아 있다.」</x:v>
      </x:c>
      <x:c r="M67" s="16" t="str"/>
      <x:c r="N67" s="16" t="str">
        <x:v>430px · 여백 중</x:v>
      </x:c>
      <x:c r="O67" s="16" t="str">
        <x:v>An old craftsman handing a scythe back, not making eye contact.</x:v>
      </x:c>
      <x:c r="P67" s="16" t="n">
        <x:v>885</x:v>
      </x:c>
      <x:c r="Q67" s="16" t="str">
        <x:v>SOURCE</x:v>
      </x:c>
    </x:row>
    <x:row r="68" ht="66" customHeight="1">
      <x:c r="A68" s="16" t="str">
        <x:v>B070-070</x:v>
      </x:c>
      <x:c r="B68" s="16" t="str">
        <x:v>070</x:v>
      </x:c>
      <x:c r="C68" s="16" t="str">
        <x:v>070</x:v>
      </x:c>
      <x:c r="D68" s="16" t="n">
        <x:v>1</x:v>
      </x:c>
      <x:c r="E68" s="16" t="str">
        <x:v>EP01-S05</x:v>
      </x:c>
      <x:c r="F68" s="16" t="str">
        <x:v>5절 재촉</x:v>
      </x:c>
      <x:c r="G68" s="16" t="str">
        <x:v>CU 아인</x:v>
      </x:c>
      <x:c r="H68" s="16" t="str"/>
      <x:c r="I68" s="16" t="str">
        <x:v>04-1</x:v>
      </x:c>
      <x:c r="J68" s="16" t="str">
        <x:v>대장간</x:v>
      </x:c>
      <x:c r="K68" s="16" t="str">
        <x:v>받는다. 고개만 까딱</x:v>
      </x:c>
      <x:c r="L68" s="16" t="str"/>
      <x:c r="M68" s="16" t="str"/>
      <x:c r="N68" s="16" t="str">
        <x:v>400px · 여백 넓</x:v>
      </x:c>
      <x:c r="O68" s="16" t="str">
        <x:v>A young woman taking the scythe with only a small nod.</x:v>
      </x:c>
      <x:c r="P68" s="16" t="n">
        <x:v>898</x:v>
      </x:c>
      <x:c r="Q68" s="16" t="str">
        <x:v>SOURCE</x:v>
      </x:c>
    </x:row>
    <x:row r="69" ht="66" customHeight="1">
      <x:c r="A69" s="16" t="str">
        <x:v>B071-071</x:v>
      </x:c>
      <x:c r="B69" s="16" t="str">
        <x:v>071</x:v>
      </x:c>
      <x:c r="C69" s="16" t="str">
        <x:v>071</x:v>
      </x:c>
      <x:c r="D69" s="16" t="n">
        <x:v>1</x:v>
      </x:c>
      <x:c r="E69" s="16" t="str">
        <x:v>EP01-S05</x:v>
      </x:c>
      <x:c r="F69" s="16" t="str">
        <x:v>5절 재촉</x:v>
      </x:c>
      <x:c r="G69" s="16" t="str">
        <x:v>회상 세로 4단</x:v>
      </x:c>
      <x:c r="H69" s="16" t="str">
        <x:v>🟤</x:v>
      </x:c>
      <x:c r="I69" s="16" t="str">
        <x:v>04-1-4</x:v>
      </x:c>
      <x:c r="J69" s="16" t="str">
        <x:v>대장간 세피아</x:v>
      </x:c>
      <x:c r="K69" s="16" t="str">
        <x:v>① 강관을 지고 오는 굽은 등 ② 이중 구조로 짜는 손 ③ 칼날을 붙이는 불꽃 ④ 벼려지는 날</x:v>
      </x:c>
      <x:c r="L69" s="16" t="str">
        <x:v>나레이션: 넉 달이 걸렸다.</x:v>
      </x:c>
      <x:c r="M69" s="16" t="str"/>
      <x:c r="N69" s="16" t="str">
        <x:v>1,100px · 여백 극</x:v>
      </x:c>
      <x:c r="O69" s="16" t="str">
        <x:v>SEPIA TONED memory. Four stacked panels: a bent back carrying steel pipe, hands assembling a double-layered shaft, sparks welding a blade, a blade being tempered. Desaturated warm brown.</x:v>
      </x:c>
      <x:c r="P69" s="16" t="n">
        <x:v>910</x:v>
      </x:c>
      <x:c r="Q69" s="16" t="str">
        <x:v>SOURCE</x:v>
      </x:c>
    </x:row>
    <x:row r="70" ht="66" customHeight="1">
      <x:c r="A70" s="16" t="str">
        <x:v>B072-072</x:v>
      </x:c>
      <x:c r="B70" s="16" t="str">
        <x:v>072</x:v>
      </x:c>
      <x:c r="C70" s="16" t="str">
        <x:v>072</x:v>
      </x:c>
      <x:c r="D70" s="16" t="n">
        <x:v>1</x:v>
      </x:c>
      <x:c r="E70" s="16" t="str">
        <x:v>EP01-S05</x:v>
      </x:c>
      <x:c r="F70" s="16" t="str">
        <x:v>5절 재촉</x:v>
      </x:c>
      <x:c r="G70" s="16" t="str">
        <x:v>MS</x:v>
      </x:c>
      <x:c r="H70" s="16" t="str"/>
      <x:c r="I70" s="16" t="str">
        <x:v>04-1</x:v>
      </x:c>
      <x:c r="J70" s="16" t="str">
        <x:v>대장간</x:v>
      </x:c>
      <x:c r="K70" s="16" t="str">
        <x:v>현재. 화로 앞. 색이 돌아온다</x:v>
      </x:c>
      <x:c r="L70" s="16" t="str">
        <x:v>나레이션: 값은 아직 다 못 냈다. 2년째다.</x:v>
      </x:c>
      <x:c r="M70" s="16" t="str"/>
      <x:c r="N70" s="16" t="str">
        <x:v>400px · 여백 중</x:v>
      </x:c>
      <x:c r="O70" s="16" t="str">
        <x:v>Back to present. The forge front, color restored.</x:v>
      </x:c>
      <x:c r="P70" s="16" t="n">
        <x:v>923</x:v>
      </x:c>
      <x:c r="Q70" s="16" t="str">
        <x:v>SOURCE</x:v>
      </x:c>
    </x:row>
    <x:row r="71" ht="66" customHeight="1">
      <x:c r="A71" s="16" t="str">
        <x:v>B073-073</x:v>
      </x:c>
      <x:c r="B71" s="16" t="str">
        <x:v>073</x:v>
      </x:c>
      <x:c r="C71" s="16" t="str">
        <x:v>073</x:v>
      </x:c>
      <x:c r="D71" s="16" t="n">
        <x:v>1</x:v>
      </x:c>
      <x:c r="E71" s="16" t="str">
        <x:v>EP01-S05</x:v>
      </x:c>
      <x:c r="F71" s="16" t="str">
        <x:v>5절 재촉</x:v>
      </x:c>
      <x:c r="G71" s="16" t="str">
        <x:v>CU</x:v>
      </x:c>
      <x:c r="H71" s="16" t="str">
        <x:v>🤫</x:v>
      </x:c>
      <x:c r="I71" s="16" t="str">
        <x:v>04-1-1</x:v>
      </x:c>
      <x:c r="J71" s="16" t="str">
        <x:v>작업대 부감</x:v>
      </x:c>
      <x:c r="K71" s="16" t="str">
        <x:v>주머니에서 나노 칩을 꺼낸다</x:v>
      </x:c>
      <x:c r="L71" s="16" t="str"/>
      <x:c r="M71" s="16" t="str"/>
      <x:c r="N71" s="16" t="str">
        <x:v>360px · 여백 좁</x:v>
      </x:c>
      <x:c r="O71" s="16" t="str">
        <x:v>Top down. A hand pulling a small chip from a pocket onto a worktable.</x:v>
      </x:c>
      <x:c r="P71" s="16" t="n">
        <x:v>936</x:v>
      </x:c>
      <x:c r="Q71" s="16" t="str">
        <x:v>SOURCE</x:v>
      </x:c>
    </x:row>
    <x:row r="72" ht="66" customHeight="1">
      <x:c r="A72" s="16" t="str">
        <x:v>B074-074</x:v>
      </x:c>
      <x:c r="B72" s="16" t="str">
        <x:v>074</x:v>
      </x:c>
      <x:c r="C72" s="16" t="str">
        <x:v>074</x:v>
      </x:c>
      <x:c r="D72" s="16" t="n">
        <x:v>1</x:v>
      </x:c>
      <x:c r="E72" s="16" t="str">
        <x:v>EP01-S05</x:v>
      </x:c>
      <x:c r="F72" s="16" t="str">
        <x:v>5절 재촉</x:v>
      </x:c>
      <x:c r="G72" s="16" t="str">
        <x:v>인서트</x:v>
      </x:c>
      <x:c r="H72" s="16" t="str">
        <x:v>🤫</x:v>
      </x:c>
      <x:c r="I72" s="16" t="str">
        <x:v>04-1-1</x:v>
      </x:c>
      <x:c r="J72" s="16" t="str">
        <x:v>작업대 부감</x:v>
      </x:c>
      <x:c r="K72" s="16" t="str">
        <x:v>작업대 위로 칩을 밀어 놓는다</x:v>
      </x:c>
      <x:c r="L72" s="16" t="str"/>
      <x:c r="M72" s="16" t="str"/>
      <x:c r="N72" s="16" t="str">
        <x:v>340px · 여백 좁</x:v>
      </x:c>
      <x:c r="O72" s="16" t="str">
        <x:v>Top down. A hand pushing a chip across a worktable.</x:v>
      </x:c>
      <x:c r="P72" s="16" t="n">
        <x:v>948</x:v>
      </x:c>
      <x:c r="Q72" s="16" t="str">
        <x:v>SOURCE</x:v>
      </x:c>
    </x:row>
    <x:row r="73" ht="66" customHeight="1">
      <x:c r="A73" s="16" t="str">
        <x:v>B075-075</x:v>
      </x:c>
      <x:c r="B73" s="16" t="str">
        <x:v>075</x:v>
      </x:c>
      <x:c r="C73" s="16" t="str">
        <x:v>075</x:v>
      </x:c>
      <x:c r="D73" s="16" t="n">
        <x:v>1</x:v>
      </x:c>
      <x:c r="E73" s="16" t="str">
        <x:v>EP01-S05</x:v>
      </x:c>
      <x:c r="F73" s="16" t="str">
        <x:v>5절 재촉</x:v>
      </x:c>
      <x:c r="G73" s="16" t="str">
        <x:v>인서트</x:v>
      </x:c>
      <x:c r="H73" s="16" t="str">
        <x:v>🤫</x:v>
      </x:c>
      <x:c r="I73" s="16" t="str">
        <x:v>04-1-1</x:v>
      </x:c>
      <x:c r="J73" s="16" t="str">
        <x:v>작업대 부감</x:v>
      </x:c>
      <x:c r="K73" s="16" t="str">
        <x:v>한 장인의 손이 그것을 도로 민다</x:v>
      </x:c>
      <x:c r="L73" s="16" t="str"/>
      <x:c r="M73" s="16" t="str"/>
      <x:c r="N73" s="16" t="str">
        <x:v>340px · 여백 좁</x:v>
      </x:c>
      <x:c r="O73" s="16" t="str">
        <x:v>Top down. An older hand pushing the chip back.</x:v>
      </x:c>
      <x:c r="P73" s="16" t="n">
        <x:v>960</x:v>
      </x:c>
      <x:c r="Q73" s="16" t="str">
        <x:v>SOURCE</x:v>
      </x:c>
    </x:row>
    <x:row r="74" ht="66" customHeight="1">
      <x:c r="A74" s="16" t="str">
        <x:v>B076-076</x:v>
      </x:c>
      <x:c r="B74" s="16" t="str">
        <x:v>076</x:v>
      </x:c>
      <x:c r="C74" s="16" t="str">
        <x:v>076</x:v>
      </x:c>
      <x:c r="D74" s="16" t="n">
        <x:v>1</x:v>
      </x:c>
      <x:c r="E74" s="16" t="str">
        <x:v>EP01-S05</x:v>
      </x:c>
      <x:c r="F74" s="16" t="str">
        <x:v>5절 재촉</x:v>
      </x:c>
      <x:c r="G74" s="16" t="str">
        <x:v>인서트</x:v>
      </x:c>
      <x:c r="H74" s="16" t="str">
        <x:v>🤫</x:v>
      </x:c>
      <x:c r="I74" s="16" t="str">
        <x:v>04-1-1</x:v>
      </x:c>
      <x:c r="J74" s="16" t="str">
        <x:v>작업대 부감</x:v>
      </x:c>
      <x:c r="K74" s="16" t="str">
        <x:v>아인이 다시 민다</x:v>
      </x:c>
      <x:c r="L74" s="16" t="str"/>
      <x:c r="M74" s="16" t="str"/>
      <x:c r="N74" s="16" t="str">
        <x:v>340px · 여백 좁</x:v>
      </x:c>
      <x:c r="O74" s="16" t="str">
        <x:v>Top down. The younger hand pushing it forward again.</x:v>
      </x:c>
      <x:c r="P74" s="16" t="n">
        <x:v>972</x:v>
      </x:c>
      <x:c r="Q74" s="16" t="str">
        <x:v>SOURCE</x:v>
      </x:c>
    </x:row>
    <x:row r="75" ht="66" customHeight="1">
      <x:c r="A75" s="16" t="str">
        <x:v>B077-077</x:v>
      </x:c>
      <x:c r="B75" s="16" t="str">
        <x:v>077</x:v>
      </x:c>
      <x:c r="C75" s="16" t="str">
        <x:v>077</x:v>
      </x:c>
      <x:c r="D75" s="16" t="n">
        <x:v>1</x:v>
      </x:c>
      <x:c r="E75" s="16" t="str">
        <x:v>EP01-S05</x:v>
      </x:c>
      <x:c r="F75" s="16" t="str">
        <x:v>5절 재촉</x:v>
      </x:c>
      <x:c r="G75" s="16" t="str">
        <x:v>인서트</x:v>
      </x:c>
      <x:c r="H75" s="16" t="str">
        <x:v>🤫</x:v>
      </x:c>
      <x:c r="I75" s="16" t="str">
        <x:v>04-1-1</x:v>
      </x:c>
      <x:c r="J75" s="16" t="str">
        <x:v>작업대 부감</x:v>
      </x:c>
      <x:c r="K75" s="16" t="str">
        <x:v>다시 돌아온다</x:v>
      </x:c>
      <x:c r="L75" s="16" t="str"/>
      <x:c r="M75" s="16" t="str"/>
      <x:c r="N75" s="16" t="str">
        <x:v>340px · 여백 좁</x:v>
      </x:c>
      <x:c r="O75" s="16" t="str">
        <x:v>Top down. The chip returns once more.</x:v>
      </x:c>
      <x:c r="P75" s="16" t="n">
        <x:v>984</x:v>
      </x:c>
      <x:c r="Q75" s="16" t="str">
        <x:v>SOURCE</x:v>
      </x:c>
    </x:row>
    <x:row r="76" ht="66" customHeight="1">
      <x:c r="A76" s="16" t="str">
        <x:v>B078-078</x:v>
      </x:c>
      <x:c r="B76" s="16" t="str">
        <x:v>078</x:v>
      </x:c>
      <x:c r="C76" s="16" t="str">
        <x:v>078</x:v>
      </x:c>
      <x:c r="D76" s="16" t="n">
        <x:v>1</x:v>
      </x:c>
      <x:c r="E76" s="16" t="str">
        <x:v>EP01-S05</x:v>
      </x:c>
      <x:c r="F76" s="16" t="str">
        <x:v>5절 재촉</x:v>
      </x:c>
      <x:c r="G76" s="16" t="str">
        <x:v>MS 부감</x:v>
      </x:c>
      <x:c r="H76" s="16" t="str">
        <x:v>🤫🎭</x:v>
      </x:c>
      <x:c r="I76" s="16" t="str">
        <x:v>04-1-1</x:v>
      </x:c>
      <x:c r="J76" s="16" t="str">
        <x:v>작업대 부감</x:v>
      </x:c>
      <x:c r="K76" s="16" t="str">
        <x:v>작업대 위 칩 하나. 두 사람의 손이 프레임 양끝에</x:v>
      </x:c>
      <x:c r="L76" s="16" t="str"/>
      <x:c r="M76" s="16" t="str"/>
      <x:c r="N76" s="16" t="str">
        <x:v>430px · 여백 넓</x:v>
      </x:c>
      <x:c r="O76" s="16" t="str">
        <x:v>Top down of a worktable. One chip in the center. Two hands at opposite edges of the frame.</x:v>
      </x:c>
      <x:c r="P76" s="16" t="n">
        <x:v>996</x:v>
      </x:c>
      <x:c r="Q76" s="16" t="str">
        <x:v>SOURCE</x:v>
      </x:c>
    </x:row>
    <x:row r="77" ht="66" customHeight="1">
      <x:c r="A77" s="16" t="str">
        <x:v>B079-079</x:v>
      </x:c>
      <x:c r="B77" s="16" t="str">
        <x:v>079</x:v>
      </x:c>
      <x:c r="C77" s="16" t="str">
        <x:v>079</x:v>
      </x:c>
      <x:c r="D77" s="16" t="n">
        <x:v>1</x:v>
      </x:c>
      <x:c r="E77" s="16" t="str">
        <x:v>EP01-S05</x:v>
      </x:c>
      <x:c r="F77" s="16" t="str">
        <x:v>5절 재촉</x:v>
      </x:c>
      <x:c r="G77" s="16" t="str">
        <x:v>MS</x:v>
      </x:c>
      <x:c r="H77" s="16" t="str">
        <x:v>🤫</x:v>
      </x:c>
      <x:c r="I77" s="16" t="str">
        <x:v>04-1-3</x:v>
      </x:c>
      <x:c r="J77" s="16" t="str">
        <x:v>대장간 근접판</x:v>
      </x:c>
      <x:c r="K77" s="16" t="str">
        <x:v>아인이 칩을 도로 주머니에 넣는다</x:v>
      </x:c>
      <x:c r="L77" s="16" t="str">
        <x:v>나레이션: 재촉하지 않는 사람에게는 갚을 날짜가 없다. / 날짜가 없으면 언제까지고 미룰 수 있다.</x:v>
      </x:c>
      <x:c r="M77" s="16" t="str"/>
      <x:c r="N77" s="16" t="str">
        <x:v>430px · 여백 넓</x:v>
      </x:c>
      <x:c r="O77" s="16" t="str">
        <x:v>A hand returning the chip to a pocket.</x:v>
      </x:c>
      <x:c r="P77" s="16" t="n">
        <x:v>1008</x:v>
      </x:c>
      <x:c r="Q77" s="16" t="str">
        <x:v>SOURCE</x:v>
      </x:c>
    </x:row>
    <x:row r="78" ht="66" customHeight="1">
      <x:c r="A78" s="16" t="str">
        <x:v>B080-080</x:v>
      </x:c>
      <x:c r="B78" s="16" t="str">
        <x:v>080</x:v>
      </x:c>
      <x:c r="C78" s="16" t="str">
        <x:v>080</x:v>
      </x:c>
      <x:c r="D78" s="16" t="n">
        <x:v>1</x:v>
      </x:c>
      <x:c r="E78" s="16" t="str">
        <x:v>EP01-S05</x:v>
      </x:c>
      <x:c r="F78" s="16" t="str">
        <x:v>5절 재촉</x:v>
      </x:c>
      <x:c r="G78" s="16" t="str">
        <x:v>LOW</x:v>
      </x:c>
      <x:c r="H78" s="16" t="str">
        <x:v>⭐</x:v>
      </x:c>
      <x:c r="I78" s="16" t="str">
        <x:v>04-1-2</x:v>
      </x:c>
      <x:c r="J78" s="16" t="str">
        <x:v>평가소 간판</x:v>
      </x:c>
      <x:c r="K78" s="16" t="str">
        <x:v>통로 끝 낡은 간판 「각인 평가소」</x:v>
      </x:c>
      <x:c r="L78" s="16" t="str">
        <x:v>나레이션: 그런데 이제는 미룰 수가 없어졌다.</x:v>
      </x:c>
      <x:c r="M78" s="16" t="str"/>
      <x:c r="N78" s="16" t="str">
        <x:v>470px · 여백 극</x:v>
      </x:c>
      <x:c r="O78" s="16" t="str">
        <x:v>Low angle. A worn sign at the end of a corridor reading in Korean. Cold light beyond.</x:v>
      </x:c>
      <x:c r="P78" s="16" t="n">
        <x:v>1021</x:v>
      </x:c>
      <x:c r="Q78" s="16" t="str">
        <x:v>SOURCE</x:v>
      </x:c>
    </x:row>
    <x:row r="79" ht="66" customHeight="1">
      <x:c r="A79" s="16" t="str">
        <x:v>B081-081</x:v>
      </x:c>
      <x:c r="B79" s="16" t="str">
        <x:v>081</x:v>
      </x:c>
      <x:c r="C79" s="16" t="str">
        <x:v>081</x:v>
      </x:c>
      <x:c r="D79" s="16" t="n">
        <x:v>1</x:v>
      </x:c>
      <x:c r="E79" s="16" t="str">
        <x:v>EP01-S06</x:v>
      </x:c>
      <x:c r="F79" s="16" t="str">
        <x:v>6절 2년</x:v>
      </x:c>
      <x:c r="G79" s="16" t="str">
        <x:v>WIDE</x:v>
      </x:c>
      <x:c r="H79" s="16" t="str"/>
      <x:c r="I79" s="16" t="str">
        <x:v>05-1</x:v>
      </x:c>
      <x:c r="J79" s="16" t="str">
        <x:v>평가소</x:v>
      </x:c>
      <x:c r="K79" s="16" t="str">
        <x:v>평가소 전경. 측정기, 번호판 벽, 대기 의자</x:v>
      </x:c>
      <x:c r="L79" s="16" t="str"/>
      <x:c r="M79" s="16" t="str"/>
      <x:c r="N79" s="16" t="str">
        <x:v>430px · 여백 좁</x:v>
      </x:c>
      <x:c r="O79" s="16" t="str">
        <x:v>Wide cold institutional evaluation office. Measurement platform center, console right, numbered plates left.</x:v>
      </x:c>
      <x:c r="P79" s="16" t="n">
        <x:v>1040</x:v>
      </x:c>
      <x:c r="Q79" s="16" t="str">
        <x:v>SOURCE</x:v>
      </x:c>
    </x:row>
    <x:row r="80" ht="66" customHeight="1">
      <x:c r="A80" s="16" t="str">
        <x:v>B082-082</x:v>
      </x:c>
      <x:c r="B80" s="16" t="str">
        <x:v>082</x:v>
      </x:c>
      <x:c r="C80" s="16" t="str">
        <x:v>082</x:v>
      </x:c>
      <x:c r="D80" s="16" t="n">
        <x:v>1</x:v>
      </x:c>
      <x:c r="E80" s="16" t="str">
        <x:v>EP01-S06</x:v>
      </x:c>
      <x:c r="F80" s="16" t="str">
        <x:v>6절 2년</x:v>
      </x:c>
      <x:c r="G80" s="16" t="str">
        <x:v>MS 유진</x:v>
      </x:c>
      <x:c r="H80" s="16" t="str"/>
      <x:c r="I80" s="16" t="str">
        <x:v>05-1-1</x:v>
      </x:c>
      <x:c r="J80" s="16" t="str">
        <x:v>유진 데스크</x:v>
      </x:c>
      <x:c r="K80" s="16" t="str">
        <x:v>짧게 묶은 머리, 표정 없음. 태블릿을 넘긴다</x:v>
      </x:c>
      <x:c r="L80" s="16" t="str"/>
      <x:c r="M80" s="16" t="str"/>
      <x:c r="N80" s="16" t="str">
        <x:v>430px · 여백 좁</x:v>
      </x:c>
      <x:c r="O80" s="16" t="str">
        <x:v>A woman with tightly tied hair at a console desk, swiping a tablet. Expressionless.</x:v>
      </x:c>
      <x:c r="P80" s="16" t="n">
        <x:v>1052</x:v>
      </x:c>
      <x:c r="Q80" s="16" t="str">
        <x:v>SOURCE</x:v>
      </x:c>
    </x:row>
    <x:row r="81" ht="66" customHeight="1">
      <x:c r="A81" s="16" t="str">
        <x:v>B083-083</x:v>
      </x:c>
      <x:c r="B81" s="16" t="str">
        <x:v>083</x:v>
      </x:c>
      <x:c r="C81" s="16" t="str">
        <x:v>083</x:v>
      </x:c>
      <x:c r="D81" s="16" t="n">
        <x:v>1</x:v>
      </x:c>
      <x:c r="E81" s="16" t="str">
        <x:v>EP01-S06</x:v>
      </x:c>
      <x:c r="F81" s="16" t="str">
        <x:v>6절 2년</x:v>
      </x:c>
      <x:c r="G81" s="16" t="str">
        <x:v>CU 유진</x:v>
      </x:c>
      <x:c r="H81" s="16" t="str"/>
      <x:c r="I81" s="16" t="str">
        <x:v>05-1-4</x:v>
      </x:c>
      <x:c r="J81" s="16" t="str">
        <x:v>평가소 근접판</x:v>
      </x:c>
      <x:c r="K81" s="16" t="str">
        <x:v>화면을 몇 번 넘기더니 손이 멈춘다. 고개는 안 든다</x:v>
      </x:c>
      <x:c r="L81" s="16" t="str">
        <x:v>대사 · 유진: 「…무등록이시네요.」</x:v>
      </x:c>
      <x:c r="M81" s="16" t="str"/>
      <x:c r="N81" s="16" t="str">
        <x:v>400px · 여백 좁</x:v>
      </x:c>
      <x:c r="O81" s="16" t="str">
        <x:v>Close on a woman looking down at a tablet, hand paused. She does not look up.</x:v>
      </x:c>
      <x:c r="P81" s="16" t="n">
        <x:v>1064</x:v>
      </x:c>
      <x:c r="Q81" s="16" t="str">
        <x:v>SOURCE</x:v>
      </x:c>
    </x:row>
    <x:row r="82" ht="66" customHeight="1">
      <x:c r="A82" s="16" t="str">
        <x:v>B084-084</x:v>
      </x:c>
      <x:c r="B82" s="16" t="str">
        <x:v>084</x:v>
      </x:c>
      <x:c r="C82" s="16" t="str">
        <x:v>084</x:v>
      </x:c>
      <x:c r="D82" s="16" t="n">
        <x:v>1</x:v>
      </x:c>
      <x:c r="E82" s="16" t="str">
        <x:v>EP01-S06</x:v>
      </x:c>
      <x:c r="F82" s="16" t="str">
        <x:v>6절 2년</x:v>
      </x:c>
      <x:c r="G82" s="16" t="str">
        <x:v>CU 아인</x:v>
      </x:c>
      <x:c r="H82" s="16" t="str"/>
      <x:c r="I82" s="16" t="str">
        <x:v>05-1-4</x:v>
      </x:c>
      <x:c r="J82" s="16" t="str">
        <x:v>평가소 근접판</x:v>
      </x:c>
      <x:c r="K82" s="16" t="str">
        <x:v>정면. 눈을 피하지 않는다</x:v>
      </x:c>
      <x:c r="L82" s="16" t="str">
        <x:v>대사 · 아인: 「네.」</x:v>
      </x:c>
      <x:c r="M82" s="16" t="str"/>
      <x:c r="N82" s="16" t="str">
        <x:v>400px · 여백 좁</x:v>
      </x:c>
      <x:c r="O82" s="16" t="str">
        <x:v>A young woman facing forward, not avoiding eye contact.</x:v>
      </x:c>
      <x:c r="P82" s="16" t="n">
        <x:v>1077</x:v>
      </x:c>
      <x:c r="Q82" s="16" t="str">
        <x:v>SOURCE</x:v>
      </x:c>
    </x:row>
    <x:row r="83" ht="66" customHeight="1">
      <x:c r="A83" s="16" t="str">
        <x:v>B085-085</x:v>
      </x:c>
      <x:c r="B83" s="16" t="str">
        <x:v>085</x:v>
      </x:c>
      <x:c r="C83" s="16" t="str">
        <x:v>085</x:v>
      </x:c>
      <x:c r="D83" s="16" t="n">
        <x:v>1</x:v>
      </x:c>
      <x:c r="E83" s="16" t="str">
        <x:v>EP01-S06</x:v>
      </x:c>
      <x:c r="F83" s="16" t="str">
        <x:v>6절 2년</x:v>
      </x:c>
      <x:c r="G83" s="16" t="str">
        <x:v>CU 유진</x:v>
      </x:c>
      <x:c r="H83" s="16" t="str"/>
      <x:c r="I83" s="16" t="str">
        <x:v>05-1-4</x:v>
      </x:c>
      <x:c r="J83" s="16" t="str">
        <x:v>평가소 근접판</x:v>
      </x:c>
      <x:c r="K83" s="16" t="str">
        <x:v>여전히 태블릿</x:v>
      </x:c>
      <x:c r="L83" s="16" t="str">
        <x:v>대사 · 유진: 「언제부터요.」</x:v>
      </x:c>
      <x:c r="M83" s="16" t="str"/>
      <x:c r="N83" s="16" t="str">
        <x:v>400px · 여백 좁</x:v>
      </x:c>
      <x:c r="O83" s="16" t="str">
        <x:v>Same woman still looking at her tablet.</x:v>
      </x:c>
      <x:c r="P83" s="16" t="n">
        <x:v>1090</x:v>
      </x:c>
      <x:c r="Q83" s="16" t="str">
        <x:v>SOURCE</x:v>
      </x:c>
    </x:row>
    <x:row r="84" ht="66" customHeight="1">
      <x:c r="A84" s="16" t="str">
        <x:v>B086-086</x:v>
      </x:c>
      <x:c r="B84" s="16" t="str">
        <x:v>086</x:v>
      </x:c>
      <x:c r="C84" s="16" t="str">
        <x:v>086</x:v>
      </x:c>
      <x:c r="D84" s="16" t="n">
        <x:v>1</x:v>
      </x:c>
      <x:c r="E84" s="16" t="str">
        <x:v>EP01-S06</x:v>
      </x:c>
      <x:c r="F84" s="16" t="str">
        <x:v>6절 2년</x:v>
      </x:c>
      <x:c r="G84" s="16" t="str">
        <x:v>CU 아인</x:v>
      </x:c>
      <x:c r="H84" s="16" t="str"/>
      <x:c r="I84" s="16" t="str">
        <x:v>05-1-4</x:v>
      </x:c>
      <x:c r="J84" s="16" t="str">
        <x:v>평가소 근접판</x:v>
      </x:c>
      <x:c r="K84" s="16" t="str">
        <x:v>반 박자 늦게</x:v>
      </x:c>
      <x:c r="L84" s="16" t="str">
        <x:v>대사 · 아인: 「…2년.」</x:v>
      </x:c>
      <x:c r="M84" s="16" t="str"/>
      <x:c r="N84" s="16" t="str">
        <x:v>400px · 여백 중</x:v>
      </x:c>
      <x:c r="O84" s="16" t="str">
        <x:v>The young woman, a half beat late.</x:v>
      </x:c>
      <x:c r="P84" s="16" t="n">
        <x:v>1103</x:v>
      </x:c>
      <x:c r="Q84" s="16" t="str">
        <x:v>SOURCE</x:v>
      </x:c>
    </x:row>
    <x:row r="85" ht="66" customHeight="1">
      <x:c r="A85" s="16" t="str">
        <x:v>B087-087</x:v>
      </x:c>
      <x:c r="B85" s="16" t="str">
        <x:v>087</x:v>
      </x:c>
      <x:c r="C85" s="16" t="str">
        <x:v>087</x:v>
      </x:c>
      <x:c r="D85" s="16" t="n">
        <x:v>1</x:v>
      </x:c>
      <x:c r="E85" s="16" t="str">
        <x:v>EP01-S06</x:v>
      </x:c>
      <x:c r="F85" s="16" t="str">
        <x:v>6절 2년</x:v>
      </x:c>
      <x:c r="G85" s="16" t="str">
        <x:v>CU 유진</x:v>
      </x:c>
      <x:c r="H85" s="16" t="str">
        <x:v>⭐</x:v>
      </x:c>
      <x:c r="I85" s="16" t="str">
        <x:v>05-1-4</x:v>
      </x:c>
      <x:c r="J85" s="16" t="str">
        <x:v>평가소 근접판</x:v>
      </x:c>
      <x:c r="K85" s="16" t="str">
        <x:v>처음으로 고개를 든다</x:v>
      </x:c>
      <x:c r="L85" s="16" t="str">
        <x:v>대사 · 유진: 「2년 동안 안 받고 버텼으면서 이제 와서요?」</x:v>
      </x:c>
      <x:c r="M85" s="16" t="str"/>
      <x:c r="N85" s="16" t="str">
        <x:v>430px · 여백 넓</x:v>
      </x:c>
      <x:c r="O85" s="16" t="str">
        <x:v>The woman lifts her head for the first time and looks directly forward.</x:v>
      </x:c>
      <x:c r="P85" s="16" t="n">
        <x:v>1116</x:v>
      </x:c>
      <x:c r="Q85" s="16" t="str">
        <x:v>SOURCE</x:v>
      </x:c>
    </x:row>
    <x:row r="86" ht="66" customHeight="1">
      <x:c r="A86" s="16" t="str">
        <x:v>B088-088</x:v>
      </x:c>
      <x:c r="B86" s="16" t="str">
        <x:v>088</x:v>
      </x:c>
      <x:c r="C86" s="16" t="str">
        <x:v>088</x:v>
      </x:c>
      <x:c r="D86" s="16" t="n">
        <x:v>1</x:v>
      </x:c>
      <x:c r="E86" s="16" t="str">
        <x:v>EP01-S06</x:v>
      </x:c>
      <x:c r="F86" s="16" t="str">
        <x:v>6절 2년</x:v>
      </x:c>
      <x:c r="G86" s="16" t="str">
        <x:v>MS 아인</x:v>
      </x:c>
      <x:c r="H86" s="16" t="str">
        <x:v>🤫</x:v>
      </x:c>
      <x:c r="I86" s="16" t="str">
        <x:v>05-1-4</x:v>
      </x:c>
      <x:c r="J86" s="16" t="str">
        <x:v>평가소 근접판</x:v>
      </x:c>
      <x:c r="K86" s="16" t="str">
        <x:v>대답하지 않는다. 시선은 유진에게 고정</x:v>
      </x:c>
      <x:c r="L86" s="16" t="str"/>
      <x:c r="M86" s="16" t="str"/>
      <x:c r="N86" s="16" t="str">
        <x:v>400px · 여백 극</x:v>
      </x:c>
      <x:c r="O86" s="16" t="str">
        <x:v>The young woman says nothing. Her gaze stays fixed.</x:v>
      </x:c>
      <x:c r="P86" s="16" t="n">
        <x:v>1129</x:v>
      </x:c>
      <x:c r="Q86" s="16" t="str">
        <x:v>SOURCE</x:v>
      </x:c>
    </x:row>
    <x:row r="87" ht="66" customHeight="1">
      <x:c r="A87" s="16" t="str">
        <x:v>B089-089</x:v>
      </x:c>
      <x:c r="B87" s="16" t="str">
        <x:v>089</x:v>
      </x:c>
      <x:c r="C87" s="16" t="str">
        <x:v>089</x:v>
      </x:c>
      <x:c r="D87" s="16" t="n">
        <x:v>1</x:v>
      </x:c>
      <x:c r="E87" s="16" t="str">
        <x:v>EP01-S06</x:v>
      </x:c>
      <x:c r="F87" s="16" t="str">
        <x:v>6절 2년</x:v>
      </x:c>
      <x:c r="G87" s="16" t="str">
        <x:v>CU 아인</x:v>
      </x:c>
      <x:c r="H87" s="16" t="str"/>
      <x:c r="I87" s="16" t="str">
        <x:v>05-1-4</x:v>
      </x:c>
      <x:c r="J87" s="16" t="str">
        <x:v>평가소 근접판</x:v>
      </x:c>
      <x:c r="K87" s="16" t="str">
        <x:v>입이 열린다</x:v>
      </x:c>
      <x:c r="L87" s="16" t="str">
        <x:v>대사 · 아인: 「…한 장인이 재촉을 안 해요.」</x:v>
      </x:c>
      <x:c r="M87" s="16" t="str"/>
      <x:c r="N87" s="16" t="str">
        <x:v>400px · 여백 중</x:v>
      </x:c>
      <x:c r="O87" s="16" t="str">
        <x:v>The young woman's mouth opens slightly.</x:v>
      </x:c>
      <x:c r="P87" s="16" t="n">
        <x:v>1141</x:v>
      </x:c>
      <x:c r="Q87" s="16" t="str">
        <x:v>SOURCE</x:v>
      </x:c>
    </x:row>
    <x:row r="88" ht="66" customHeight="1">
      <x:c r="A88" s="16" t="str">
        <x:v>B090-090</x:v>
      </x:c>
      <x:c r="B88" s="16" t="str">
        <x:v>090</x:v>
      </x:c>
      <x:c r="C88" s="16" t="str">
        <x:v>090</x:v>
      </x:c>
      <x:c r="D88" s="16" t="n">
        <x:v>1</x:v>
      </x:c>
      <x:c r="E88" s="16" t="str">
        <x:v>EP01-S06</x:v>
      </x:c>
      <x:c r="F88" s="16" t="str">
        <x:v>6절 2년</x:v>
      </x:c>
      <x:c r="G88" s="16" t="str">
        <x:v>CU 유진</x:v>
      </x:c>
      <x:c r="H88" s="16" t="str">
        <x:v>⭐🤫</x:v>
      </x:c>
      <x:c r="I88" s="16" t="str">
        <x:v>05-1-4</x:v>
      </x:c>
      <x:c r="J88" s="16" t="str">
        <x:v>평가소 근접판</x:v>
      </x:c>
      <x:c r="K88" s="16" t="str">
        <x:v>아인을 잠깐 본다. 표정이 아니라 시선의 길이로 반응</x:v>
      </x:c>
      <x:c r="L88" s="16" t="str"/>
      <x:c r="M88" s="16" t="str"/>
      <x:c r="N88" s="16" t="str">
        <x:v>430px · 여백 극</x:v>
      </x:c>
      <x:c r="O88" s="16" t="str">
        <x:v>The woman looks at her for a moment. No change of expression, only the length of the look.</x:v>
      </x:c>
      <x:c r="P88" s="16" t="n">
        <x:v>1154</x:v>
      </x:c>
      <x:c r="Q88" s="16" t="str">
        <x:v>SOURCE</x:v>
      </x:c>
    </x:row>
    <x:row r="89" ht="66" customHeight="1">
      <x:c r="A89" s="16" t="str">
        <x:v>B091-091</x:v>
      </x:c>
      <x:c r="B89" s="16" t="str">
        <x:v>091</x:v>
      </x:c>
      <x:c r="C89" s="16" t="str">
        <x:v>091</x:v>
      </x:c>
      <x:c r="D89" s="16" t="n">
        <x:v>1</x:v>
      </x:c>
      <x:c r="E89" s="16" t="str">
        <x:v>EP01-S06</x:v>
      </x:c>
      <x:c r="F89" s="16" t="str">
        <x:v>6절 2년</x:v>
      </x:c>
      <x:c r="G89" s="16" t="str">
        <x:v>MS 유진</x:v>
      </x:c>
      <x:c r="H89" s="16" t="str"/>
      <x:c r="I89" s="16" t="str">
        <x:v>05-1-1</x:v>
      </x:c>
      <x:c r="J89" s="16" t="str">
        <x:v>유진 데스크</x:v>
      </x:c>
      <x:c r="K89" s="16" t="str">
        <x:v>다시 태블릿으로 시선을 내린다. 더 묻지 않는다</x:v>
      </x:c>
      <x:c r="L89" s="16" t="str">
        <x:v>대사 · 유진: 「…발판 위로.」</x:v>
      </x:c>
      <x:c r="M89" s="16" t="str"/>
      <x:c r="N89" s="16" t="str">
        <x:v>430px · 여백 넓</x:v>
      </x:c>
      <x:c r="O89" s="16" t="str">
        <x:v>The woman lowers her gaze back to the tablet.</x:v>
      </x:c>
      <x:c r="P89" s="16" t="n">
        <x:v>1166</x:v>
      </x:c>
      <x:c r="Q89" s="16" t="str">
        <x:v>SOURCE</x:v>
      </x:c>
    </x:row>
    <x:row r="90" ht="66" customHeight="1">
      <x:c r="A90" s="16" t="str">
        <x:v>B092-092</x:v>
      </x:c>
      <x:c r="B90" s="16" t="str">
        <x:v>092</x:v>
      </x:c>
      <x:c r="C90" s="16" t="str">
        <x:v>092</x:v>
      </x:c>
      <x:c r="D90" s="16" t="n">
        <x:v>1</x:v>
      </x:c>
      <x:c r="E90" s="16" t="str">
        <x:v>EP01-S06</x:v>
      </x:c>
      <x:c r="F90" s="16" t="str">
        <x:v>6절 2년</x:v>
      </x:c>
      <x:c r="G90" s="16" t="str">
        <x:v>인서트</x:v>
      </x:c>
      <x:c r="H90" s="16" t="str"/>
      <x:c r="I90" s="16" t="str">
        <x:v>05-1-2</x:v>
      </x:c>
      <x:c r="J90" s="16" t="str">
        <x:v>등급표 벽</x:v>
      </x:c>
      <x:c r="K90" s="16" t="str">
        <x:v>등급표. C·B·A·S·SS 도해</x:v>
      </x:c>
      <x:c r="L90" s="16" t="str"/>
      <x:c r="M90" s="16" t="str"/>
      <x:c r="N90" s="16" t="str">
        <x:v>380px · 여백 좁</x:v>
      </x:c>
      <x:c r="O90" s="16" t="str">
        <x:v>A wall chart showing a rank ladder: C B A S SS. Cold institutional print.</x:v>
      </x:c>
      <x:c r="P90" s="16" t="n">
        <x:v>1179</x:v>
      </x:c>
      <x:c r="Q90" s="16" t="str">
        <x:v>SOURCE</x:v>
      </x:c>
    </x:row>
    <x:row r="91" ht="66" customHeight="1">
      <x:c r="A91" s="16" t="str">
        <x:v>B093-093</x:v>
      </x:c>
      <x:c r="B91" s="16" t="str">
        <x:v>093</x:v>
      </x:c>
      <x:c r="C91" s="16" t="str">
        <x:v>093</x:v>
      </x:c>
      <x:c r="D91" s="16" t="n">
        <x:v>1</x:v>
      </x:c>
      <x:c r="E91" s="16" t="str">
        <x:v>EP01-S06</x:v>
      </x:c>
      <x:c r="F91" s="16" t="str">
        <x:v>6절 2년</x:v>
      </x:c>
      <x:c r="G91" s="16" t="str">
        <x:v>MS</x:v>
      </x:c>
      <x:c r="H91" s="16" t="str"/>
      <x:c r="I91" s="16" t="str">
        <x:v>05-1-3</x:v>
      </x:c>
      <x:c r="J91" s="16" t="str">
        <x:v>발판·스캔</x:v>
      </x:c>
      <x:c r="K91" s="16" t="str">
        <x:v>아인이 낫을 세우고 발판 위로</x:v>
      </x:c>
      <x:c r="L91" s="16" t="str">
        <x:v>나레이션: 등급이 오르면 의뢰가 열린다. 보수가 오른다. / 배급 순서가 앞당겨진다.</x:v>
      </x:c>
      <x:c r="M91" s="16" t="str"/>
      <x:c r="N91" s="16" t="str">
        <x:v>470px · 여백 중</x:v>
      </x:c>
      <x:c r="O91" s="16" t="str">
        <x:v>A young woman stepping onto a measurement platform, scythe planted upright.</x:v>
      </x:c>
      <x:c r="P91" s="16" t="n">
        <x:v>1191</x:v>
      </x:c>
      <x:c r="Q91" s="16" t="str">
        <x:v>SOURCE</x:v>
      </x:c>
    </x:row>
    <x:row r="92" ht="66" customHeight="1">
      <x:c r="A92" s="16" t="str">
        <x:v>B094-094</x:v>
      </x:c>
      <x:c r="B92" s="16" t="str">
        <x:v>094</x:v>
      </x:c>
      <x:c r="C92" s="16" t="str">
        <x:v>094</x:v>
      </x:c>
      <x:c r="D92" s="16" t="n">
        <x:v>1</x:v>
      </x:c>
      <x:c r="E92" s="16" t="str">
        <x:v>EP01-S06</x:v>
      </x:c>
      <x:c r="F92" s="16" t="str">
        <x:v>6절 2년</x:v>
      </x:c>
      <x:c r="G92" s="16" t="str">
        <x:v>CU</x:v>
      </x:c>
      <x:c r="H92" s="16" t="str"/>
      <x:c r="I92" s="16" t="str">
        <x:v>05-1-3</x:v>
      </x:c>
      <x:c r="J92" s="16" t="str">
        <x:v>발판·스캔</x:v>
      </x:c>
      <x:c r="K92" s="16" t="str">
        <x:v>발밑 스캔판에 불이 들어온다</x:v>
      </x:c>
      <x:c r="L92" s="16" t="str">
        <x:v>나레이션: 등급이 없으면 아무리 강해도 굶는다.</x:v>
      </x:c>
      <x:c r="M92" s="16" t="str"/>
      <x:c r="N92" s="16" t="str">
        <x:v>400px · 여백 넓</x:v>
      </x:c>
      <x:c r="O92" s="16" t="str">
        <x:v>Close on boots on a metal footplate. An inset light ring turns on.</x:v>
      </x:c>
      <x:c r="P92" s="16" t="n">
        <x:v>1204</x:v>
      </x:c>
      <x:c r="Q92" s="16" t="str">
        <x:v>SOURCE</x:v>
      </x:c>
    </x:row>
    <x:row r="93" ht="66" customHeight="1">
      <x:c r="A93" s="16" t="str">
        <x:v>B095-095</x:v>
      </x:c>
      <x:c r="B93" s="16" t="str">
        <x:v>095</x:v>
      </x:c>
      <x:c r="C93" s="16" t="str">
        <x:v>095</x:v>
      </x:c>
      <x:c r="D93" s="16" t="n">
        <x:v>1</x:v>
      </x:c>
      <x:c r="E93" s="16" t="str">
        <x:v>EP01-S06</x:v>
      </x:c>
      <x:c r="F93" s="16" t="str">
        <x:v>6절 2년</x:v>
      </x:c>
      <x:c r="G93" s="16" t="str">
        <x:v>극세로 블리드</x:v>
      </x:c>
      <x:c r="H93" s="16" t="str"/>
      <x:c r="I93" s="16" t="str">
        <x:v>05-1-3</x:v>
      </x:c>
      <x:c r="J93" s="16" t="str">
        <x:v>발판·스캔</x:v>
      </x:c>
      <x:c r="K93" s="16" t="str">
        <x:v>청백색 스캔 빔이 발밑에서 척추를 따라 올라간다</x:v>
      </x:c>
      <x:c r="L93" s="16" t="str"/>
      <x:c r="M93" s="16" t="str">
        <x:v>위이이잉—</x:v>
      </x:c>
      <x:c r="N93" s="16" t="str">
        <x:v>1,500px · 여백 좁</x:v>
      </x:c>
      <x:c r="O93" s="16" t="str">
        <x:v>A pale cold scanning beam rising from the floor plate up along a standing figure's spine. Vertical composition.</x:v>
      </x:c>
      <x:c r="P93" s="16" t="n">
        <x:v>1217</x:v>
      </x:c>
      <x:c r="Q93" s="16" t="str">
        <x:v>SOURCE</x:v>
      </x:c>
    </x:row>
    <x:row r="94" ht="66" customHeight="1">
      <x:c r="A94" s="16" t="str">
        <x:v>B096-096</x:v>
      </x:c>
      <x:c r="B94" s="16" t="str">
        <x:v>096</x:v>
      </x:c>
      <x:c r="C94" s="16" t="str">
        <x:v>096</x:v>
      </x:c>
      <x:c r="D94" s="16" t="n">
        <x:v>1</x:v>
      </x:c>
      <x:c r="E94" s="16" t="str">
        <x:v>EP01-S06</x:v>
      </x:c>
      <x:c r="F94" s="16" t="str">
        <x:v>6절 2년</x:v>
      </x:c>
      <x:c r="G94" s="16" t="str">
        <x:v>CU</x:v>
      </x:c>
      <x:c r="H94" s="16" t="str"/>
      <x:c r="I94" s="16" t="str">
        <x:v>05-1-4</x:v>
      </x:c>
      <x:c r="J94" s="16" t="str">
        <x:v>평가소 근접판</x:v>
      </x:c>
      <x:c r="K94" s="16" t="str">
        <x:v>코어가 한 번 밝아졌다 가라앉는다</x:v>
      </x:c>
      <x:c r="L94" s="16" t="str"/>
      <x:c r="M94" s="16" t="str"/>
      <x:c r="N94" s="16" t="str">
        <x:v>380px · 여백 좁</x:v>
      </x:c>
      <x:c r="O94" s="16" t="str">
        <x:v>Close on the nape of a neck. An amber core brightens once then dims.</x:v>
      </x:c>
      <x:c r="P94" s="16" t="n">
        <x:v>1230</x:v>
      </x:c>
      <x:c r="Q94" s="16" t="str">
        <x:v>SOURCE</x:v>
      </x:c>
    </x:row>
    <x:row r="95" ht="66" customHeight="1">
      <x:c r="A95" s="16" t="str">
        <x:v>B097-097</x:v>
      </x:c>
      <x:c r="B95" s="16" t="str">
        <x:v>097</x:v>
      </x:c>
      <x:c r="C95" s="16" t="str">
        <x:v>097</x:v>
      </x:c>
      <x:c r="D95" s="16" t="n">
        <x:v>1</x:v>
      </x:c>
      <x:c r="E95" s="16" t="str">
        <x:v>EP01-S06</x:v>
      </x:c>
      <x:c r="F95" s="16" t="str">
        <x:v>6절 2년</x:v>
      </x:c>
      <x:c r="G95" s="16" t="str">
        <x:v>인서트</x:v>
      </x:c>
      <x:c r="H95" s="16" t="str"/>
      <x:c r="I95" s="16" t="str">
        <x:v>05-1-4</x:v>
      </x:c>
      <x:c r="J95" s="16" t="str">
        <x:v>평가소 근접판</x:v>
      </x:c>
      <x:c r="K95" s="16" t="str">
        <x:v>홀로그램 수치 — 공명 주파수·결정 밀도·신경 결합률</x:v>
      </x:c>
      <x:c r="L95" s="16" t="str"/>
      <x:c r="M95" s="16" t="str"/>
      <x:c r="N95" s="16" t="str">
        <x:v>380px · 여백 좁</x:v>
      </x:c>
      <x:c r="O95" s="16" t="str">
        <x:v>Floating readout figures beside a scan column.</x:v>
      </x:c>
      <x:c r="P95" s="16" t="n">
        <x:v>1242</x:v>
      </x:c>
      <x:c r="Q95" s="16" t="str">
        <x:v>SOURCE</x:v>
      </x:c>
    </x:row>
    <x:row r="96" ht="66" customHeight="1">
      <x:c r="A96" s="16" t="str">
        <x:v>B098-098</x:v>
      </x:c>
      <x:c r="B96" s="16" t="str">
        <x:v>098</x:v>
      </x:c>
      <x:c r="C96" s="16" t="str">
        <x:v>098</x:v>
      </x:c>
      <x:c r="D96" s="16" t="n">
        <x:v>1</x:v>
      </x:c>
      <x:c r="E96" s="16" t="str">
        <x:v>EP01-S06</x:v>
      </x:c>
      <x:c r="F96" s="16" t="str">
        <x:v>6절 2년</x:v>
      </x:c>
      <x:c r="G96" s="16" t="str">
        <x:v>ECU</x:v>
      </x:c>
      <x:c r="H96" s="16" t="str">
        <x:v>🎣</x:v>
      </x:c>
      <x:c r="I96" s="16" t="str">
        <x:v>05-1-4</x:v>
      </x:c>
      <x:c r="J96" s="16" t="str">
        <x:v>평가소 근접판</x:v>
      </x:c>
      <x:c r="K96" s="16" t="str">
        <x:v>한구석에서 붉은 것이 한 번 튄다</x:v>
      </x:c>
      <x:c r="L96" s="16" t="str"/>
      <x:c r="M96" s="16" t="str"/>
      <x:c r="N96" s="16" t="str">
        <x:v>360px · 여백 중</x:v>
      </x:c>
      <x:c r="O96" s="16" t="str">
        <x:v>A readout graph. In one corner a red spike flickers once. Do not emphasize. No one looks at it.</x:v>
      </x:c>
      <x:c r="P96" s="16" t="n">
        <x:v>1254</x:v>
      </x:c>
      <x:c r="Q96" s="16" t="str">
        <x:v>SOURCE</x:v>
      </x:c>
    </x:row>
    <x:row r="97" ht="66" customHeight="1">
      <x:c r="A97" s="16" t="str">
        <x:v>B099-099</x:v>
      </x:c>
      <x:c r="B97" s="16" t="str">
        <x:v>099</x:v>
      </x:c>
      <x:c r="C97" s="16" t="str">
        <x:v>099</x:v>
      </x:c>
      <x:c r="D97" s="16" t="n">
        <x:v>1</x:v>
      </x:c>
      <x:c r="E97" s="16" t="str">
        <x:v>EP01-S06</x:v>
      </x:c>
      <x:c r="F97" s="16" t="str">
        <x:v>6절 2년</x:v>
      </x:c>
      <x:c r="G97" s="16" t="str">
        <x:v>CU</x:v>
      </x:c>
      <x:c r="H97" s="16" t="str">
        <x:v>⭐</x:v>
      </x:c>
      <x:c r="I97" s="16" t="str">
        <x:v>05-1-4</x:v>
      </x:c>
      <x:c r="J97" s="16" t="str">
        <x:v>평가소 근접판</x:v>
      </x:c>
      <x:c r="K97" s="16" t="str">
        <x:v>수치가 멈춘다. C 구간 상단</x:v>
      </x:c>
      <x:c r="L97" s="16" t="str"/>
      <x:c r="M97" s="16" t="str"/>
      <x:c r="N97" s="16" t="str">
        <x:v>400px · 여백 좁</x:v>
      </x:c>
      <x:c r="O97" s="16" t="str">
        <x:v>A readout stops at the upper edge of the C band.</x:v>
      </x:c>
      <x:c r="P97" s="16" t="n">
        <x:v>1266</x:v>
      </x:c>
      <x:c r="Q97" s="16" t="str">
        <x:v>SOURCE</x:v>
      </x:c>
    </x:row>
    <x:row r="98" ht="66" customHeight="1">
      <x:c r="A98" s="16" t="str">
        <x:v>B100-100</x:v>
      </x:c>
      <x:c r="B98" s="16" t="str">
        <x:v>100</x:v>
      </x:c>
      <x:c r="C98" s="16" t="str">
        <x:v>100</x:v>
      </x:c>
      <x:c r="D98" s="16" t="n">
        <x:v>1</x:v>
      </x:c>
      <x:c r="E98" s="16" t="str">
        <x:v>EP01-S06</x:v>
      </x:c>
      <x:c r="F98" s="16" t="str">
        <x:v>6절 2년</x:v>
      </x:c>
      <x:c r="G98" s="16" t="str">
        <x:v>ECU</x:v>
      </x:c>
      <x:c r="H98" s="16" t="str">
        <x:v>⭐🎣</x:v>
      </x:c>
      <x:c r="I98" s="16" t="str">
        <x:v>05-1-4</x:v>
      </x:c>
      <x:c r="J98" s="16" t="str">
        <x:v>평가소 근접판</x:v>
      </x:c>
      <x:c r="K98" s="16" t="str">
        <x:v>확대. 바로 위 B 경계선. 손가락 하나 차이</x:v>
      </x:c>
      <x:c r="L98" s="16" t="str">
        <x:v>나레이션: 2년을 아껴 쓴 결과가 그것이었다.</x:v>
      </x:c>
      <x:c r="M98" s="16" t="str"/>
      <x:c r="N98" s="16" t="str">
        <x:v>430px · 여백 극</x:v>
      </x:c>
      <x:c r="O98" s="16" t="str">
        <x:v>Extreme close on a gauge. The needle sits a finger's width below the B line.</x:v>
      </x:c>
      <x:c r="P98" s="16" t="n">
        <x:v>1278</x:v>
      </x:c>
      <x:c r="Q98" s="16" t="str">
        <x:v>SOURCE</x:v>
      </x:c>
    </x:row>
    <x:row r="99" ht="66" customHeight="1">
      <x:c r="A99" s="16" t="str">
        <x:v>B101-101</x:v>
      </x:c>
      <x:c r="B99" s="16" t="str">
        <x:v>101</x:v>
      </x:c>
      <x:c r="C99" s="16" t="str">
        <x:v>101</x:v>
      </x:c>
      <x:c r="D99" s="16" t="n">
        <x:v>1</x:v>
      </x:c>
      <x:c r="E99" s="16" t="str">
        <x:v>EP01-S06</x:v>
      </x:c>
      <x:c r="F99" s="16" t="str">
        <x:v>6절 2년</x:v>
      </x:c>
      <x:c r="G99" s="16" t="str">
        <x:v>MS 유진</x:v>
      </x:c>
      <x:c r="H99" s="16" t="str"/>
      <x:c r="I99" s="16" t="str">
        <x:v>05-1-1</x:v>
      </x:c>
      <x:c r="J99" s="16" t="str">
        <x:v>유진 데스크</x:v>
      </x:c>
      <x:c r="K99" s="16" t="str">
        <x:v>각인기를 끌어당긴다</x:v>
      </x:c>
      <x:c r="L99" s="16" t="str"/>
      <x:c r="M99" s="16" t="str"/>
      <x:c r="N99" s="16" t="str">
        <x:v>400px · 여백 좁</x:v>
      </x:c>
      <x:c r="O99" s="16" t="str">
        <x:v>The woman pulling a stamping device toward her.</x:v>
      </x:c>
      <x:c r="P99" s="16" t="n">
        <x:v>1291</x:v>
      </x:c>
      <x:c r="Q99" s="16" t="str">
        <x:v>SOURCE</x:v>
      </x:c>
    </x:row>
    <x:row r="100" ht="66" customHeight="1">
      <x:c r="A100" s="16" t="str">
        <x:v>B102-102</x:v>
      </x:c>
      <x:c r="B100" s="16" t="str">
        <x:v>102</x:v>
      </x:c>
      <x:c r="C100" s="16" t="str">
        <x:v>102</x:v>
      </x:c>
      <x:c r="D100" s="16" t="n">
        <x:v>1</x:v>
      </x:c>
      <x:c r="E100" s="16" t="str">
        <x:v>EP01-S06</x:v>
      </x:c>
      <x:c r="F100" s="16" t="str">
        <x:v>6절 2년</x:v>
      </x:c>
      <x:c r="G100" s="16" t="str">
        <x:v>ECU</x:v>
      </x:c>
      <x:c r="H100" s="16" t="str"/>
      <x:c r="I100" s="16" t="str">
        <x:v>05-1-4</x:v>
      </x:c>
      <x:c r="J100" s="16" t="str">
        <x:v>평가소 근접판</x:v>
      </x:c>
      <x:c r="K100" s="16" t="str">
        <x:v>금속 인식표에 글자가 눌러 박힌다 — C</x:v>
      </x:c>
      <x:c r="L100" s="16" t="str"/>
      <x:c r="M100" s="16" t="str">
        <x:v>치익—</x:v>
      </x:c>
      <x:c r="N100" s="16" t="str">
        <x:v>400px · 여백 중</x:v>
      </x:c>
      <x:c r="O100" s="16" t="str">
        <x:v>Extreme close. A letter C being pressed into a metal tag. Smoke.</x:v>
      </x:c>
      <x:c r="P100" s="16" t="n">
        <x:v>1303</x:v>
      </x:c>
      <x:c r="Q100" s="16" t="str">
        <x:v>SOURCE</x:v>
      </x:c>
    </x:row>
    <x:row r="101" ht="66" customHeight="1">
      <x:c r="A101" s="16" t="str">
        <x:v>B103-103</x:v>
      </x:c>
      <x:c r="B101" s="16" t="str">
        <x:v>103</x:v>
      </x:c>
      <x:c r="C101" s="16" t="str">
        <x:v>103</x:v>
      </x:c>
      <x:c r="D101" s="16" t="n">
        <x:v>1</x:v>
      </x:c>
      <x:c r="E101" s="16" t="str">
        <x:v>EP01-S06</x:v>
      </x:c>
      <x:c r="F101" s="16" t="str">
        <x:v>6절 2년</x:v>
      </x:c>
      <x:c r="G101" s="16" t="str">
        <x:v>MS 유진</x:v>
      </x:c>
      <x:c r="H101" s="16" t="str"/>
      <x:c r="I101" s="16" t="str">
        <x:v>05-1-1</x:v>
      </x:c>
      <x:c r="J101" s="16" t="str">
        <x:v>유진 데스크</x:v>
      </x:c>
      <x:c r="K101" s="16" t="str">
        <x:v>태블릿을 보며</x:v>
      </x:c>
      <x:c r="L101" s="16" t="str">
        <x:v>대사 · 유진: 「아인 용병. 척추 코어 공명 확인.」</x:v>
      </x:c>
      <x:c r="M101" s="16" t="str"/>
      <x:c r="N101" s="16" t="str">
        <x:v>400px · 여백 좁</x:v>
      </x:c>
      <x:c r="O101" s="16" t="str">
        <x:v>The woman reading from her tablet.</x:v>
      </x:c>
      <x:c r="P101" s="16" t="n">
        <x:v>1316</x:v>
      </x:c>
      <x:c r="Q101" s="16" t="str">
        <x:v>SOURCE</x:v>
      </x:c>
    </x:row>
    <x:row r="102" ht="66" customHeight="1">
      <x:c r="A102" s="16" t="str">
        <x:v>B104-104</x:v>
      </x:c>
      <x:c r="B102" s="16" t="str">
        <x:v>104</x:v>
      </x:c>
      <x:c r="C102" s="16" t="str">
        <x:v>104</x:v>
      </x:c>
      <x:c r="D102" s="16" t="n">
        <x:v>1</x:v>
      </x:c>
      <x:c r="E102" s="16" t="str">
        <x:v>EP01-S06</x:v>
      </x:c>
      <x:c r="F102" s="16" t="str">
        <x:v>6절 2년</x:v>
      </x:c>
      <x:c r="G102" s="16" t="str">
        <x:v>CU</x:v>
      </x:c>
      <x:c r="H102" s="16" t="str"/>
      <x:c r="I102" s="16" t="str">
        <x:v>05-1-4</x:v>
      </x:c>
      <x:c r="J102" s="16" t="str">
        <x:v>평가소 근접판</x:v>
      </x:c>
      <x:c r="K102" s="16" t="str">
        <x:v>아직 뜨거운 인식표가 건네진다</x:v>
      </x:c>
      <x:c r="L102" s="16" t="str"/>
      <x:c r="M102" s="16" t="str"/>
      <x:c r="N102" s="16" t="str">
        <x:v>380px · 여백 좁</x:v>
      </x:c>
      <x:c r="O102" s="16" t="str">
        <x:v>A still-hot metal tag being handed across.</x:v>
      </x:c>
      <x:c r="P102" s="16" t="n">
        <x:v>1329</x:v>
      </x:c>
      <x:c r="Q102" s="16" t="str">
        <x:v>SOURCE</x:v>
      </x:c>
    </x:row>
    <x:row r="103" ht="66" customHeight="1">
      <x:c r="A103" s="16" t="str">
        <x:v>B105-105</x:v>
      </x:c>
      <x:c r="B103" s="16" t="str">
        <x:v>105</x:v>
      </x:c>
      <x:c r="C103" s="16" t="str">
        <x:v>105</x:v>
      </x:c>
      <x:c r="D103" s="16" t="n">
        <x:v>1</x:v>
      </x:c>
      <x:c r="E103" s="16" t="str">
        <x:v>EP01-S06</x:v>
      </x:c>
      <x:c r="F103" s="16" t="str">
        <x:v>6절 2년</x:v>
      </x:c>
      <x:c r="G103" s="16" t="str">
        <x:v>MS</x:v>
      </x:c>
      <x:c r="H103" s="16" t="str">
        <x:v>🎣</x:v>
      </x:c>
      <x:c r="I103" s="16" t="str">
        <x:v>05-1-4</x:v>
      </x:c>
      <x:c r="J103" s="16" t="str">
        <x:v>평가소 근접판</x:v>
      </x:c>
      <x:c r="K103" s="16" t="str">
        <x:v>아인은 고개만 까딱하고 목에 건다</x:v>
      </x:c>
      <x:c r="L103" s="16" t="str">
        <x:v>대사 · 유진: 「…성장 가능성이 '아주 유망'하군요. 축하드립니다.」</x:v>
      </x:c>
      <x:c r="M103" s="16" t="str"/>
      <x:c r="N103" s="16" t="str">
        <x:v>430px · 여백 넓</x:v>
      </x:c>
      <x:c r="O103" s="16" t="str">
        <x:v>A young woman hanging a tag around her neck with only a nod.</x:v>
      </x:c>
      <x:c r="P103" s="16" t="n">
        <x:v>1341</x:v>
      </x:c>
      <x:c r="Q103" s="16" t="str">
        <x:v>SOURCE</x:v>
      </x:c>
    </x:row>
    <x:row r="104" ht="66" customHeight="1">
      <x:c r="A104" s="16" t="str">
        <x:v>B106-106</x:v>
      </x:c>
      <x:c r="B104" s="16" t="str">
        <x:v>106</x:v>
      </x:c>
      <x:c r="C104" s="16" t="str">
        <x:v>106</x:v>
      </x:c>
      <x:c r="D104" s="16" t="n">
        <x:v>1</x:v>
      </x:c>
      <x:c r="E104" s="16" t="str">
        <x:v>EP01-S06</x:v>
      </x:c>
      <x:c r="F104" s="16" t="str">
        <x:v>6절 2년</x:v>
      </x:c>
      <x:c r="G104" s="16" t="str">
        <x:v>MS</x:v>
      </x:c>
      <x:c r="H104" s="16" t="str"/>
      <x:c r="I104" s="16" t="str">
        <x:v>05-1-3</x:v>
      </x:c>
      <x:c r="J104" s="16" t="str">
        <x:v>발판·스캔</x:v>
      </x:c>
      <x:c r="K104" s="16" t="str">
        <x:v>카인이 발판에 오른다. 빔이 훑고 지나간다</x:v>
      </x:c>
      <x:c r="L104" s="16" t="str"/>
      <x:c r="M104" s="16" t="str">
        <x:v>위이이잉—</x:v>
      </x:c>
      <x:c r="N104" s="16" t="str">
        <x:v>470px · 여백 좁</x:v>
      </x:c>
      <x:c r="O104" s="16" t="str">
        <x:v>A large man stepping onto the platform, the beam sweeping over him.</x:v>
      </x:c>
      <x:c r="P104" s="16" t="n">
        <x:v>1354</x:v>
      </x:c>
      <x:c r="Q104" s="16" t="str">
        <x:v>SOURCE</x:v>
      </x:c>
    </x:row>
    <x:row r="105" ht="66" customHeight="1">
      <x:c r="A105" s="16" t="str">
        <x:v>B107-107</x:v>
      </x:c>
      <x:c r="B105" s="16" t="str">
        <x:v>107</x:v>
      </x:c>
      <x:c r="C105" s="16" t="str">
        <x:v>107</x:v>
      </x:c>
      <x:c r="D105" s="16" t="n">
        <x:v>1</x:v>
      </x:c>
      <x:c r="E105" s="16" t="str">
        <x:v>EP01-S06</x:v>
      </x:c>
      <x:c r="F105" s="16" t="str">
        <x:v>6절 2년</x:v>
      </x:c>
      <x:c r="G105" s="16" t="str">
        <x:v>ECU</x:v>
      </x:c>
      <x:c r="H105" s="16" t="str"/>
      <x:c r="I105" s="16" t="str">
        <x:v>05-1-4</x:v>
      </x:c>
      <x:c r="J105" s="16" t="str">
        <x:v>평가소 근접판</x:v>
      </x:c>
      <x:c r="K105" s="16" t="str">
        <x:v>C</x:v>
      </x:c>
      <x:c r="L105" s="16" t="str"/>
      <x:c r="M105" s="16" t="str">
        <x:v>치익—</x:v>
      </x:c>
      <x:c r="N105" s="16" t="str">
        <x:v>380px · 여백 좁</x:v>
      </x:c>
      <x:c r="O105" s="16" t="str">
        <x:v>Extreme close. A letter C pressed into a second tag.</x:v>
      </x:c>
      <x:c r="P105" s="16" t="n">
        <x:v>1367</x:v>
      </x:c>
      <x:c r="Q105" s="16" t="str">
        <x:v>SOURCE</x:v>
      </x:c>
    </x:row>
    <x:row r="106" ht="66" customHeight="1">
      <x:c r="A106" s="16" t="str">
        <x:v>B108-108</x:v>
      </x:c>
      <x:c r="B106" s="16" t="str">
        <x:v>108</x:v>
      </x:c>
      <x:c r="C106" s="16" t="str">
        <x:v>108</x:v>
      </x:c>
      <x:c r="D106" s="16" t="n">
        <x:v>1</x:v>
      </x:c>
      <x:c r="E106" s="16" t="str">
        <x:v>EP01-S06</x:v>
      </x:c>
      <x:c r="F106" s="16" t="str">
        <x:v>6절 2년</x:v>
      </x:c>
      <x:c r="G106" s="16" t="str">
        <x:v>CU</x:v>
      </x:c>
      <x:c r="H106" s="16" t="str">
        <x:v>🤫</x:v>
      </x:c>
      <x:c r="I106" s="16" t="str">
        <x:v>05-1-4</x:v>
      </x:c>
      <x:c r="J106" s="16" t="str">
        <x:v>평가소 근접판</x:v>
      </x:c>
      <x:c r="K106" s="16" t="str">
        <x:v>인식표를 받아 든 카인이 한참 들여다본다</x:v>
      </x:c>
      <x:c r="L106" s="16" t="str">
        <x:v>대사 · 카인: 「…이게 왜 C야.」</x:v>
      </x:c>
      <x:c r="M106" s="16" t="str"/>
      <x:c r="N106" s="16" t="str">
        <x:v>400px · 여백 중</x:v>
      </x:c>
      <x:c r="O106" s="16" t="str">
        <x:v>A large man staring at the tag in his palm for a long moment.</x:v>
      </x:c>
      <x:c r="P106" s="16" t="n">
        <x:v>1380</x:v>
      </x:c>
      <x:c r="Q106" s="16" t="str">
        <x:v>SOURCE</x:v>
      </x:c>
    </x:row>
    <x:row r="107" ht="66" customHeight="1">
      <x:c r="A107" s="16" t="str">
        <x:v>B109-109</x:v>
      </x:c>
      <x:c r="B107" s="16" t="str">
        <x:v>109</x:v>
      </x:c>
      <x:c r="C107" s="16" t="str">
        <x:v>109</x:v>
      </x:c>
      <x:c r="D107" s="16" t="n">
        <x:v>1</x:v>
      </x:c>
      <x:c r="E107" s="16" t="str">
        <x:v>EP01-S06</x:v>
      </x:c>
      <x:c r="F107" s="16" t="str">
        <x:v>6절 2년</x:v>
      </x:c>
      <x:c r="G107" s="16" t="str">
        <x:v>MS 유진</x:v>
      </x:c>
      <x:c r="H107" s="16" t="str"/>
      <x:c r="I107" s="16" t="str">
        <x:v>05-1-1</x:v>
      </x:c>
      <x:c r="J107" s="16" t="str">
        <x:v>유진 데스크</x:v>
      </x:c>
      <x:c r="K107" s="16" t="str">
        <x:v>태블릿을 넘기며. 눈도 마주치지 않는다</x:v>
      </x:c>
      <x:c r="L107" s="16" t="str">
        <x:v>대사 · 유진: 「대검 무게는 등급에 반영되지 않습니다. / 다음 분.」</x:v>
      </x:c>
      <x:c r="M107" s="16" t="str"/>
      <x:c r="N107" s="16" t="str">
        <x:v>430px · 여백 넓</x:v>
      </x:c>
      <x:c r="O107" s="16" t="str">
        <x:v>The woman swiping her tablet without looking up.</x:v>
      </x:c>
      <x:c r="P107" s="16" t="n">
        <x:v>1393</x:v>
      </x:c>
      <x:c r="Q107" s="16" t="str">
        <x:v>SOURCE</x:v>
      </x:c>
    </x:row>
    <x:row r="108" ht="66" customHeight="1">
      <x:c r="A108" s="16" t="str">
        <x:v>B110-110</x:v>
      </x:c>
      <x:c r="B108" s="16" t="str">
        <x:v>110</x:v>
      </x:c>
      <x:c r="C108" s="16" t="str">
        <x:v>110</x:v>
      </x:c>
      <x:c r="D108" s="16" t="n">
        <x:v>1</x:v>
      </x:c>
      <x:c r="E108" s="16" t="str">
        <x:v>EP01-S06</x:v>
      </x:c>
      <x:c r="F108" s="16" t="str">
        <x:v>6절 2년</x:v>
      </x:c>
      <x:c r="G108" s="16" t="str">
        <x:v>WIDE</x:v>
      </x:c>
      <x:c r="H108" s="16" t="str">
        <x:v>🤫🎭</x:v>
      </x:c>
      <x:c r="I108" s="16" t="str">
        <x:v>05-1-4</x:v>
      </x:c>
      <x:c r="J108" s="16" t="str">
        <x:v>평가소 근접판</x:v>
      </x:c>
      <x:c r="K108" s="16" t="str">
        <x:v>카인이 인식표를 목에 걸며 뒤돌아 걷는다. 복도. 카인 혼자. 빈 공간이 프레임의 절반</x:v>
      </x:c>
      <x:c r="L108" s="16" t="str">
        <x:v>대사 · 카인: 「62킬로짜리를 한 손으로 드는데 C라니. / 그럼 대체 뭘 보고 매기는 거야. 눈으로 보면 알 거 아니야, 눈으로.」</x:v>
      </x:c>
      <x:c r="M108" s="16" t="str"/>
      <x:c r="N108" s="16" t="str">
        <x:v>560px · 여백 극</x:v>
      </x:c>
      <x:c r="O108" s="16" t="str">
        <x:v>A lone large man walking away down a corridor. Half the frame is empty space. Nobody else.</x:v>
      </x:c>
      <x:c r="P108" s="16" t="n">
        <x:v>1406</x:v>
      </x:c>
      <x:c r="Q108" s="16" t="str">
        <x:v>SOURCE</x:v>
      </x:c>
    </x:row>
    <x:row r="109" ht="66" customHeight="1">
      <x:c r="A109" s="16" t="str">
        <x:v>B111-111</x:v>
      </x:c>
      <x:c r="B109" s="16" t="str">
        <x:v>111</x:v>
      </x:c>
      <x:c r="C109" s="16" t="str">
        <x:v>111</x:v>
      </x:c>
      <x:c r="D109" s="16" t="n">
        <x:v>1</x:v>
      </x:c>
      <x:c r="E109" s="16" t="str">
        <x:v>EP01-S07</x:v>
      </x:c>
      <x:c r="F109" s="16" t="str">
        <x:v>7절 대장</x:v>
      </x:c>
      <x:c r="G109" s="16" t="str">
        <x:v>WIDE</x:v>
      </x:c>
      <x:c r="H109" s="16" t="str"/>
      <x:c r="I109" s="16" t="str">
        <x:v>05-1</x:v>
      </x:c>
      <x:c r="J109" s="16" t="str">
        <x:v>평가소</x:v>
      </x:c>
      <x:c r="K109" s="16" t="str">
        <x:v>두 사람이 나간 뒤의 빈 평가소</x:v>
      </x:c>
      <x:c r="L109" s="16" t="str"/>
      <x:c r="M109" s="16" t="str"/>
      <x:c r="N109" s="16" t="str">
        <x:v>430px · 여백 중</x:v>
      </x:c>
      <x:c r="O109" s="16" t="str">
        <x:v>An empty evaluation office after everyone has left.</x:v>
      </x:c>
      <x:c r="P109" s="16" t="n">
        <x:v>1425</x:v>
      </x:c>
      <x:c r="Q109" s="16" t="str">
        <x:v>SOURCE</x:v>
      </x:c>
    </x:row>
    <x:row r="110" ht="66" customHeight="1">
      <x:c r="A110" s="16" t="str">
        <x:v>B112-112</x:v>
      </x:c>
      <x:c r="B110" s="16" t="str">
        <x:v>112</x:v>
      </x:c>
      <x:c r="C110" s="16" t="str">
        <x:v>112</x:v>
      </x:c>
      <x:c r="D110" s="16" t="n">
        <x:v>1</x:v>
      </x:c>
      <x:c r="E110" s="16" t="str">
        <x:v>EP01-S07</x:v>
      </x:c>
      <x:c r="F110" s="16" t="str">
        <x:v>7절 대장</x:v>
      </x:c>
      <x:c r="G110" s="16" t="str">
        <x:v>MS</x:v>
      </x:c>
      <x:c r="H110" s="16" t="str"/>
      <x:c r="I110" s="16" t="str">
        <x:v>05-1-1</x:v>
      </x:c>
      <x:c r="J110" s="16" t="str">
        <x:v>유진 데스크</x:v>
      </x:c>
      <x:c r="K110" s="16" t="str">
        <x:v>유진이 콘솔 아래 서랍을 연다</x:v>
      </x:c>
      <x:c r="L110" s="16" t="str"/>
      <x:c r="M110" s="16" t="str">
        <x:v>드르륵</x:v>
      </x:c>
      <x:c r="N110" s="16" t="str">
        <x:v>400px · 여백 좁</x:v>
      </x:c>
      <x:c r="O110" s="16" t="str">
        <x:v>A woman opening a drawer beneath a console desk.</x:v>
      </x:c>
      <x:c r="P110" s="16" t="n">
        <x:v>1437</x:v>
      </x:c>
      <x:c r="Q110" s="16" t="str">
        <x:v>SOURCE</x:v>
      </x:c>
    </x:row>
    <x:row r="111" ht="66" customHeight="1">
      <x:c r="A111" s="16" t="str">
        <x:v>B113-113</x:v>
      </x:c>
      <x:c r="B111" s="16" t="str">
        <x:v>113</x:v>
      </x:c>
      <x:c r="C111" s="16" t="str">
        <x:v>113</x:v>
      </x:c>
      <x:c r="D111" s="16" t="n">
        <x:v>1</x:v>
      </x:c>
      <x:c r="E111" s="16" t="str">
        <x:v>EP01-S07</x:v>
      </x:c>
      <x:c r="F111" s="16" t="str">
        <x:v>7절 대장</x:v>
      </x:c>
      <x:c r="G111" s="16" t="str">
        <x:v>ECU</x:v>
      </x:c>
      <x:c r="H111" s="16" t="str"/>
      <x:c r="I111" s="16" t="str">
        <x:v>05-1-4</x:v>
      </x:c>
      <x:c r="J111" s="16" t="str">
        <x:v>평가소 근접판</x:v>
      </x:c>
      <x:c r="K111" s="16" t="str">
        <x:v>낡은 대학 노트. 볼펜 손글씨 「각인 평가 대장」</x:v>
      </x:c>
      <x:c r="L111" s="16" t="str"/>
      <x:c r="M111" s="16" t="str"/>
      <x:c r="N111" s="16" t="str">
        <x:v>400px · 여백 중</x:v>
      </x:c>
      <x:c r="O111" s="16" t="str">
        <x:v>Extreme close on a worn notebook cover with handwritten Korean title.</x:v>
      </x:c>
      <x:c r="P111" s="16" t="n">
        <x:v>1450</x:v>
      </x:c>
      <x:c r="Q111" s="16" t="str">
        <x:v>SOURCE</x:v>
      </x:c>
    </x:row>
    <x:row r="112" ht="66" customHeight="1">
      <x:c r="A112" s="16" t="str">
        <x:v>B114-114</x:v>
      </x:c>
      <x:c r="B112" s="16" t="str">
        <x:v>114</x:v>
      </x:c>
      <x:c r="C112" s="16" t="str">
        <x:v>114</x:v>
      </x:c>
      <x:c r="D112" s="16" t="n">
        <x:v>1</x:v>
      </x:c>
      <x:c r="E112" s="16" t="str">
        <x:v>EP01-S07</x:v>
      </x:c>
      <x:c r="F112" s="16" t="str">
        <x:v>7절 대장</x:v>
      </x:c>
      <x:c r="G112" s="16" t="str">
        <x:v>MS</x:v>
      </x:c>
      <x:c r="H112" s="16" t="str">
        <x:v>🤫</x:v>
      </x:c>
      <x:c r="I112" s="16" t="str">
        <x:v>05-1-1</x:v>
      </x:c>
      <x:c r="J112" s="16" t="str">
        <x:v>유진 데스크</x:v>
      </x:c>
      <x:c r="K112" s="16" t="str">
        <x:v>홀로그램 수치를 보며 손으로 옮겨 적는다</x:v>
      </x:c>
      <x:c r="L112" s="16" t="str"/>
      <x:c r="M112" s="16" t="str"/>
      <x:c r="N112" s="16" t="str">
        <x:v>400px · 여백 좁</x:v>
      </x:c>
      <x:c r="O112" s="16" t="str">
        <x:v>A woman copying numbers by hand into a paper notebook.</x:v>
      </x:c>
      <x:c r="P112" s="16" t="n">
        <x:v>1462</x:v>
      </x:c>
      <x:c r="Q112" s="16" t="str">
        <x:v>SOURCE</x:v>
      </x:c>
    </x:row>
    <x:row r="113" ht="66" customHeight="1">
      <x:c r="A113" s="16" t="str">
        <x:v>B115-115</x:v>
      </x:c>
      <x:c r="B113" s="16" t="str">
        <x:v>115</x:v>
      </x:c>
      <x:c r="C113" s="16" t="str">
        <x:v>115</x:v>
      </x:c>
      <x:c r="D113" s="16" t="n">
        <x:v>1</x:v>
      </x:c>
      <x:c r="E113" s="16" t="str">
        <x:v>EP01-S07</x:v>
      </x:c>
      <x:c r="F113" s="16" t="str">
        <x:v>7절 대장</x:v>
      </x:c>
      <x:c r="G113" s="16" t="str">
        <x:v>ECU</x:v>
      </x:c>
      <x:c r="H113" s="16" t="str"/>
      <x:c r="I113" s="16" t="str">
        <x:v>05-1-4</x:v>
      </x:c>
      <x:c r="J113" s="16" t="str">
        <x:v>평가소 근접판</x:v>
      </x:c>
      <x:c r="K113" s="16" t="str">
        <x:v>펜이 움직인다. 날짜·이름·등급</x:v>
      </x:c>
      <x:c r="L113" s="16" t="str"/>
      <x:c r="M113" s="16" t="str"/>
      <x:c r="N113" s="16" t="str">
        <x:v>380px · 여백 좁</x:v>
      </x:c>
      <x:c r="O113" s="16" t="str">
        <x:v>Extreme close on a pen writing a date, a name, a grade.</x:v>
      </x:c>
      <x:c r="P113" s="16" t="n">
        <x:v>1474</x:v>
      </x:c>
      <x:c r="Q113" s="16" t="str">
        <x:v>SOURCE</x:v>
      </x:c>
    </x:row>
    <x:row r="114" ht="66" customHeight="1">
      <x:c r="A114" s="16" t="str">
        <x:v>B116-116</x:v>
      </x:c>
      <x:c r="B114" s="16" t="str">
        <x:v>116</x:v>
      </x:c>
      <x:c r="C114" s="16" t="str">
        <x:v>116</x:v>
      </x:c>
      <x:c r="D114" s="16" t="n">
        <x:v>1</x:v>
      </x:c>
      <x:c r="E114" s="16" t="str">
        <x:v>EP01-S07</x:v>
      </x:c>
      <x:c r="F114" s="16" t="str">
        <x:v>7절 대장</x:v>
      </x:c>
      <x:c r="G114" s="16" t="str">
        <x:v>인서트</x:v>
      </x:c>
      <x:c r="H114" s="16" t="str"/>
      <x:c r="I114" s="16" t="str">
        <x:v>05-1-4</x:v>
      </x:c>
      <x:c r="J114" s="16" t="str">
        <x:v>평가소 근접판</x:v>
      </x:c>
      <x:c r="K114" s="16" t="str">
        <x:v>「아인 / C / 상단」</x:v>
      </x:c>
      <x:c r="L114" s="16" t="str"/>
      <x:c r="M114" s="16" t="str"/>
      <x:c r="N114" s="16" t="str">
        <x:v>340px · 여백 좁</x:v>
      </x:c>
      <x:c r="O114" s="16" t="str">
        <x:v>A notebook line reading a name, C, upper.</x:v>
      </x:c>
      <x:c r="P114" s="16" t="n">
        <x:v>1486</x:v>
      </x:c>
      <x:c r="Q114" s="16" t="str">
        <x:v>SOURCE</x:v>
      </x:c>
    </x:row>
    <x:row r="115" ht="66" customHeight="1">
      <x:c r="A115" s="16" t="str">
        <x:v>B117-117</x:v>
      </x:c>
      <x:c r="B115" s="16" t="str">
        <x:v>117</x:v>
      </x:c>
      <x:c r="C115" s="16" t="str">
        <x:v>117</x:v>
      </x:c>
      <x:c r="D115" s="16" t="n">
        <x:v>1</x:v>
      </x:c>
      <x:c r="E115" s="16" t="str">
        <x:v>EP01-S07</x:v>
      </x:c>
      <x:c r="F115" s="16" t="str">
        <x:v>7절 대장</x:v>
      </x:c>
      <x:c r="G115" s="16" t="str">
        <x:v>인서트</x:v>
      </x:c>
      <x:c r="H115" s="16" t="str"/>
      <x:c r="I115" s="16" t="str">
        <x:v>05-1-4</x:v>
      </x:c>
      <x:c r="J115" s="16" t="str">
        <x:v>평가소 근접판</x:v>
      </x:c>
      <x:c r="K115" s="16" t="str">
        <x:v>「카인 / C」</x:v>
      </x:c>
      <x:c r="L115" s="16" t="str"/>
      <x:c r="M115" s="16" t="str"/>
      <x:c r="N115" s="16" t="str">
        <x:v>340px · 여백 중</x:v>
      </x:c>
      <x:c r="O115" s="16" t="str">
        <x:v>A notebook line reading a second name and C.</x:v>
      </x:c>
      <x:c r="P115" s="16" t="n">
        <x:v>1498</x:v>
      </x:c>
      <x:c r="Q115" s="16" t="str">
        <x:v>SOURCE</x:v>
      </x:c>
    </x:row>
    <x:row r="116" ht="66" customHeight="1">
      <x:c r="A116" s="16" t="str">
        <x:v>B118-118</x:v>
      </x:c>
      <x:c r="B116" s="16" t="str">
        <x:v>118</x:v>
      </x:c>
      <x:c r="C116" s="16" t="str">
        <x:v>118</x:v>
      </x:c>
      <x:c r="D116" s="16" t="n">
        <x:v>1</x:v>
      </x:c>
      <x:c r="E116" s="16" t="str">
        <x:v>EP01-S07</x:v>
      </x:c>
      <x:c r="F116" s="16" t="str">
        <x:v>7절 대장</x:v>
      </x:c>
      <x:c r="G116" s="16" t="str">
        <x:v>ECU</x:v>
      </x:c>
      <x:c r="H116" s="16" t="str">
        <x:v>⭐🤫</x:v>
      </x:c>
      <x:c r="I116" s="16" t="str">
        <x:v>05-1-4</x:v>
      </x:c>
      <x:c r="J116" s="16" t="str">
        <x:v>평가소 근접판</x:v>
      </x:c>
      <x:c r="K116" s="16" t="str">
        <x:v>펜이 멈춘다. 여백에 작게 덧붙인다 — 「2년 무등록」</x:v>
      </x:c>
      <x:c r="L116" s="16" t="str"/>
      <x:c r="M116" s="16" t="str"/>
      <x:c r="N116" s="16" t="str">
        <x:v>400px · 여백 극</x:v>
      </x:c>
      <x:c r="O116" s="16" t="str">
        <x:v>Extreme close. A pen pauses, then adds a small note in the margin.</x:v>
      </x:c>
      <x:c r="P116" s="16" t="n">
        <x:v>1510</x:v>
      </x:c>
      <x:c r="Q116" s="16" t="str">
        <x:v>SOURCE</x:v>
      </x:c>
    </x:row>
    <x:row r="117" ht="66" customHeight="1">
      <x:c r="A117" s="16" t="str">
        <x:v>B119-119</x:v>
      </x:c>
      <x:c r="B117" s="16" t="str">
        <x:v>119</x:v>
      </x:c>
      <x:c r="C117" s="16" t="str">
        <x:v>119</x:v>
      </x:c>
      <x:c r="D117" s="16" t="n">
        <x:v>1</x:v>
      </x:c>
      <x:c r="E117" s="16" t="str">
        <x:v>EP01-S07</x:v>
      </x:c>
      <x:c r="F117" s="16" t="str">
        <x:v>7절 대장</x:v>
      </x:c>
      <x:c r="G117" s="16" t="str">
        <x:v>MS</x:v>
      </x:c>
      <x:c r="H117" s="16" t="str"/>
      <x:c r="I117" s="16" t="str">
        <x:v>05-1-1</x:v>
      </x:c>
      <x:c r="J117" s="16" t="str">
        <x:v>유진 데스크</x:v>
      </x:c>
      <x:c r="K117" s="16" t="str">
        <x:v>유진이 노트를 덮는다</x:v>
      </x:c>
      <x:c r="L117" s="16" t="str"/>
      <x:c r="M117" s="16" t="str"/>
      <x:c r="N117" s="16" t="str">
        <x:v>400px · 여백 좁</x:v>
      </x:c>
      <x:c r="O117" s="16" t="str">
        <x:v>A woman closing a notebook.</x:v>
      </x:c>
      <x:c r="P117" s="16" t="n">
        <x:v>1522</x:v>
      </x:c>
      <x:c r="Q117" s="16" t="str">
        <x:v>SOURCE</x:v>
      </x:c>
    </x:row>
    <x:row r="118" ht="66" customHeight="1">
      <x:c r="A118" s="16" t="str">
        <x:v>B120-120</x:v>
      </x:c>
      <x:c r="B118" s="16" t="str">
        <x:v>120</x:v>
      </x:c>
      <x:c r="C118" s="16" t="str">
        <x:v>120</x:v>
      </x:c>
      <x:c r="D118" s="16" t="n">
        <x:v>1</x:v>
      </x:c>
      <x:c r="E118" s="16" t="str">
        <x:v>EP01-S07</x:v>
      </x:c>
      <x:c r="F118" s="16" t="str">
        <x:v>7절 대장</x:v>
      </x:c>
      <x:c r="G118" s="16" t="str">
        <x:v>부감</x:v>
      </x:c>
      <x:c r="H118" s="16" t="str">
        <x:v>🤫🔒</x:v>
      </x:c>
      <x:c r="I118" s="16" t="str">
        <x:v>05-1-5</x:v>
      </x:c>
      <x:c r="J118" s="16" t="str">
        <x:v>서랍</x:v>
      </x:c>
      <x:c r="K118" s="16" t="str">
        <x:v>서랍 안. 같은 노트가 여러 권 쌓여 있다</x:v>
      </x:c>
      <x:c r="L118" s="16" t="str"/>
      <x:c r="M118" s="16" t="str"/>
      <x:c r="N118" s="16" t="str">
        <x:v>470px · 여백 넓</x:v>
      </x:c>
      <x:c r="O118" s="16" t="str">
        <x:v>Top down into an open drawer. Many identical worn notebooks stacked inside.</x:v>
      </x:c>
      <x:c r="P118" s="16" t="n">
        <x:v>1534</x:v>
      </x:c>
      <x:c r="Q118" s="16" t="str">
        <x:v>SOURCE</x:v>
      </x:c>
    </x:row>
    <x:row r="119" ht="66" customHeight="1">
      <x:c r="A119" s="16" t="str">
        <x:v>B121-121</x:v>
      </x:c>
      <x:c r="B119" s="16" t="str">
        <x:v>121</x:v>
      </x:c>
      <x:c r="C119" s="16" t="str">
        <x:v>121</x:v>
      </x:c>
      <x:c r="D119" s="16" t="n">
        <x:v>1</x:v>
      </x:c>
      <x:c r="E119" s="16" t="str">
        <x:v>EP01-S07</x:v>
      </x:c>
      <x:c r="F119" s="16" t="str">
        <x:v>7절 대장</x:v>
      </x:c>
      <x:c r="G119" s="16" t="str">
        <x:v>CU</x:v>
      </x:c>
      <x:c r="H119" s="16" t="str">
        <x:v>🤫</x:v>
      </x:c>
      <x:c r="I119" s="16" t="str">
        <x:v>05-1-4</x:v>
      </x:c>
      <x:c r="J119" s="16" t="str">
        <x:v>평가소 근접판</x:v>
      </x:c>
      <x:c r="K119" s="16" t="str">
        <x:v>유진의 얼굴. 표정 없음</x:v>
      </x:c>
      <x:c r="L119" s="16" t="str"/>
      <x:c r="M119" s="16" t="str"/>
      <x:c r="N119" s="16" t="str">
        <x:v>400px · 여백 중</x:v>
      </x:c>
      <x:c r="O119" s="16" t="str">
        <x:v>Close on a woman's face. No expression.</x:v>
      </x:c>
      <x:c r="P119" s="16" t="n">
        <x:v>1546</x:v>
      </x:c>
      <x:c r="Q119" s="16" t="str">
        <x:v>SOURCE</x:v>
      </x:c>
    </x:row>
    <x:row r="120" ht="66" customHeight="1">
      <x:c r="A120" s="16" t="str">
        <x:v>B122-122</x:v>
      </x:c>
      <x:c r="B120" s="16" t="str">
        <x:v>122</x:v>
      </x:c>
      <x:c r="C120" s="16" t="str">
        <x:v>122</x:v>
      </x:c>
      <x:c r="D120" s="16" t="n">
        <x:v>1</x:v>
      </x:c>
      <x:c r="E120" s="16" t="str">
        <x:v>EP01-S07</x:v>
      </x:c>
      <x:c r="F120" s="16" t="str">
        <x:v>7절 대장</x:v>
      </x:c>
      <x:c r="G120" s="16" t="str">
        <x:v>MS</x:v>
      </x:c>
      <x:c r="H120" s="16" t="str"/>
      <x:c r="I120" s="16" t="str">
        <x:v>05-1-1</x:v>
      </x:c>
      <x:c r="J120" s="16" t="str">
        <x:v>유진 데스크</x:v>
      </x:c>
      <x:c r="K120" s="16" t="str">
        <x:v>서랍을 닫는다</x:v>
      </x:c>
      <x:c r="L120" s="16" t="str"/>
      <x:c r="M120" s="16" t="str">
        <x:v>탁</x:v>
      </x:c>
      <x:c r="N120" s="16" t="str">
        <x:v>380px · 여백 좁</x:v>
      </x:c>
      <x:c r="O120" s="16" t="str">
        <x:v>A drawer being pushed closed.</x:v>
      </x:c>
      <x:c r="P120" s="16" t="n">
        <x:v>1558</x:v>
      </x:c>
      <x:c r="Q120" s="16" t="str">
        <x:v>SOURCE</x:v>
      </x:c>
    </x:row>
    <x:row r="121" ht="66" customHeight="1">
      <x:c r="A121" s="16" t="str">
        <x:v>B123-123</x:v>
      </x:c>
      <x:c r="B121" s="16" t="str">
        <x:v>123</x:v>
      </x:c>
      <x:c r="C121" s="16" t="str">
        <x:v>123</x:v>
      </x:c>
      <x:c r="D121" s="16" t="n">
        <x:v>1</x:v>
      </x:c>
      <x:c r="E121" s="16" t="str">
        <x:v>EP01-S07</x:v>
      </x:c>
      <x:c r="F121" s="16" t="str">
        <x:v>7절 대장</x:v>
      </x:c>
      <x:c r="G121" s="16" t="str">
        <x:v>WIDE</x:v>
      </x:c>
      <x:c r="H121" s="16" t="str"/>
      <x:c r="I121" s="16" t="str">
        <x:v>05-1</x:v>
      </x:c>
      <x:c r="J121" s="16" t="str">
        <x:v>평가소</x:v>
      </x:c>
      <x:c r="K121" s="16" t="str">
        <x:v>다시 태블릿 앞에 앉는다</x:v>
      </x:c>
      <x:c r="L121" s="16" t="str"/>
      <x:c r="M121" s="16" t="str"/>
      <x:c r="N121" s="16" t="str">
        <x:v>430px · 여백 중</x:v>
      </x:c>
      <x:c r="O121" s="16" t="str">
        <x:v>The woman sitting back down at her console.</x:v>
      </x:c>
      <x:c r="P121" s="16" t="n">
        <x:v>1571</x:v>
      </x:c>
      <x:c r="Q121" s="16" t="str">
        <x:v>SOURCE</x:v>
      </x:c>
    </x:row>
    <x:row r="122" ht="66" customHeight="1">
      <x:c r="A122" s="16" t="str">
        <x:v>B124-124</x:v>
      </x:c>
      <x:c r="B122" s="16" t="str">
        <x:v>124</x:v>
      </x:c>
      <x:c r="C122" s="16" t="str">
        <x:v>124</x:v>
      </x:c>
      <x:c r="D122" s="16" t="n">
        <x:v>1</x:v>
      </x:c>
      <x:c r="E122" s="16" t="str">
        <x:v>EP01-S07</x:v>
      </x:c>
      <x:c r="F122" s="16" t="str">
        <x:v>7절 대장</x:v>
      </x:c>
      <x:c r="G122" s="16" t="str">
        <x:v>EWIDE</x:v>
      </x:c>
      <x:c r="H122" s="16" t="str">
        <x:v>🎭</x:v>
      </x:c>
      <x:c r="I122" s="16" t="str">
        <x:v>05-1</x:v>
      </x:c>
      <x:c r="J122" s="16" t="str">
        <x:v>평가소</x:v>
      </x:c>
      <x:c r="K122" s="16" t="str">
        <x:v>빈 평가소. 유진 혼자. 형광등 소리만</x:v>
      </x:c>
      <x:c r="L122" s="16" t="str"/>
      <x:c r="M122" s="16" t="str">
        <x:v>지—</x:v>
      </x:c>
      <x:c r="N122" s="16" t="str">
        <x:v>560px · 여백 극</x:v>
      </x:c>
      <x:c r="O122" s="16" t="str">
        <x:v>A wide empty evaluation office with one seated figure. Cold and still.</x:v>
      </x:c>
      <x:c r="P122" s="16" t="n">
        <x:v>1583</x:v>
      </x:c>
      <x:c r="Q122" s="16" t="str">
        <x:v>SOURCE</x:v>
      </x:c>
    </x:row>
    <x:row r="123" ht="66" customHeight="1">
      <x:c r="A123" s="16" t="str">
        <x:v>B125-125</x:v>
      </x:c>
      <x:c r="B123" s="16" t="str">
        <x:v>125</x:v>
      </x:c>
      <x:c r="C123" s="16" t="str">
        <x:v>125</x:v>
      </x:c>
      <x:c r="D123" s="16" t="n">
        <x:v>1</x:v>
      </x:c>
      <x:c r="E123" s="16" t="str">
        <x:v>EP01-S07</x:v>
      </x:c>
      <x:c r="F123" s="16" t="str">
        <x:v>7절 대장</x:v>
      </x:c>
      <x:c r="G123" s="16" t="str">
        <x:v>인서트</x:v>
      </x:c>
      <x:c r="H123" s="16" t="str"/>
      <x:c r="I123" s="16" t="str">
        <x:v>05-1-2</x:v>
      </x:c>
      <x:c r="J123" s="16" t="str">
        <x:v>등급표 벽</x:v>
      </x:c>
      <x:c r="K123" s="16" t="str">
        <x:v>벽의 번호판. 다음 번호로 넘어간다</x:v>
      </x:c>
      <x:c r="L123" s="16" t="str"/>
      <x:c r="M123" s="16" t="str">
        <x:v>딩—</x:v>
      </x:c>
      <x:c r="N123" s="16" t="str">
        <x:v>360px · 여백 좁</x:v>
      </x:c>
      <x:c r="O123" s="16" t="str">
        <x:v>A wall number display flipping to the next number.</x:v>
      </x:c>
      <x:c r="P123" s="16" t="n">
        <x:v>1596</x:v>
      </x:c>
      <x:c r="Q123" s="16" t="str">
        <x:v>SOURCE</x:v>
      </x:c>
    </x:row>
    <x:row r="124" ht="66" customHeight="1">
      <x:c r="A124" s="16" t="str">
        <x:v>B126-126</x:v>
      </x:c>
      <x:c r="B124" s="16" t="str">
        <x:v>126</x:v>
      </x:c>
      <x:c r="C124" s="16" t="str">
        <x:v>126</x:v>
      </x:c>
      <x:c r="D124" s="16" t="n">
        <x:v>1</x:v>
      </x:c>
      <x:c r="E124" s="16" t="str">
        <x:v>EP01-S07</x:v>
      </x:c>
      <x:c r="F124" s="16" t="str">
        <x:v>7절 대장</x:v>
      </x:c>
      <x:c r="G124" s="16" t="str">
        <x:v>MS</x:v>
      </x:c>
      <x:c r="H124" s="16" t="str">
        <x:v>🤫</x:v>
      </x:c>
      <x:c r="I124" s="16" t="str">
        <x:v>05-1-4</x:v>
      </x:c>
      <x:c r="J124" s="16" t="str">
        <x:v>평가소 근접판</x:v>
      </x:c>
      <x:c r="K124" s="16" t="str">
        <x:v>문이 열리고 다음 사람이 들어온다. 얼굴 안 보임</x:v>
      </x:c>
      <x:c r="L124" s="16" t="str"/>
      <x:c r="M124" s="16" t="str"/>
      <x:c r="N124" s="16" t="str">
        <x:v>430px · 여백 중</x:v>
      </x:c>
      <x:c r="O124" s="16" t="str">
        <x:v>A door opening. A person enters. Their face is not visible.</x:v>
      </x:c>
      <x:c r="P124" s="16" t="n">
        <x:v>1609</x:v>
      </x:c>
      <x:c r="Q124" s="16" t="str">
        <x:v>SOURCE</x:v>
      </x:c>
    </x:row>
    <x:row r="125" ht="66" customHeight="1">
      <x:c r="A125" s="16" t="str">
        <x:v>B127-127</x:v>
      </x:c>
      <x:c r="B125" s="16" t="str">
        <x:v>127</x:v>
      </x:c>
      <x:c r="C125" s="16" t="str">
        <x:v>127</x:v>
      </x:c>
      <x:c r="D125" s="16" t="n">
        <x:v>1</x:v>
      </x:c>
      <x:c r="E125" s="16" t="str">
        <x:v>EP01-S07</x:v>
      </x:c>
      <x:c r="F125" s="16" t="str">
        <x:v>7절 대장</x:v>
      </x:c>
      <x:c r="G125" s="16" t="str">
        <x:v>CU 유진</x:v>
      </x:c>
      <x:c r="H125" s="16" t="str"/>
      <x:c r="I125" s="16" t="str">
        <x:v>05-1-1</x:v>
      </x:c>
      <x:c r="J125" s="16" t="str">
        <x:v>유진 데스크</x:v>
      </x:c>
      <x:c r="K125" s="16" t="str">
        <x:v>태블릿으로 시선을 내린다</x:v>
      </x:c>
      <x:c r="L125" s="16" t="str">
        <x:v>대사 · 유진: 「…발판 위로.」</x:v>
      </x:c>
      <x:c r="M125" s="16" t="str"/>
      <x:c r="N125" s="16" t="str">
        <x:v>400px · 여백 넓</x:v>
      </x:c>
      <x:c r="O125" s="16" t="str">
        <x:v>The woman lowering her gaze to the tablet again.</x:v>
      </x:c>
      <x:c r="P125" s="16" t="n">
        <x:v>1621</x:v>
      </x:c>
      <x:c r="Q125" s="16" t="str">
        <x:v>SOURCE</x:v>
      </x:c>
    </x:row>
    <x:row r="126" ht="66" customHeight="1">
      <x:c r="A126" s="16" t="str">
        <x:v>B128-128</x:v>
      </x:c>
      <x:c r="B126" s="16" t="str">
        <x:v>128</x:v>
      </x:c>
      <x:c r="C126" s="16" t="str">
        <x:v>128</x:v>
      </x:c>
      <x:c r="D126" s="16" t="n">
        <x:v>1</x:v>
      </x:c>
      <x:c r="E126" s="16" t="str">
        <x:v>EP01-S07</x:v>
      </x:c>
      <x:c r="F126" s="16" t="str">
        <x:v>7절 대장</x:v>
      </x:c>
      <x:c r="G126" s="16" t="str">
        <x:v>WIDE</x:v>
      </x:c>
      <x:c r="H126" s="16" t="str"/>
      <x:c r="I126" s="16" t="str">
        <x:v>05-1</x:v>
      </x:c>
      <x:c r="J126" s="16" t="str">
        <x:v>평가소</x:v>
      </x:c>
      <x:c r="K126" s="16" t="str">
        <x:v>같은 구도. 사람만 다르다</x:v>
      </x:c>
      <x:c r="L126" s="16" t="str"/>
      <x:c r="M126" s="16" t="str"/>
      <x:c r="N126" s="16" t="str">
        <x:v>430px · 여백 좁</x:v>
      </x:c>
      <x:c r="O126" s="16" t="str">
        <x:v>The same wide composition. Only the person is different.</x:v>
      </x:c>
      <x:c r="P126" s="16" t="n">
        <x:v>1634</x:v>
      </x:c>
      <x:c r="Q126" s="16" t="str">
        <x:v>SOURCE</x:v>
      </x:c>
    </x:row>
    <x:row r="127" ht="66" customHeight="1">
      <x:c r="A127" s="16" t="str">
        <x:v>B129-129</x:v>
      </x:c>
      <x:c r="B127" s="16" t="str">
        <x:v>129</x:v>
      </x:c>
      <x:c r="C127" s="16" t="str">
        <x:v>129</x:v>
      </x:c>
      <x:c r="D127" s="16" t="n">
        <x:v>1</x:v>
      </x:c>
      <x:c r="E127" s="16" t="str">
        <x:v>EP01-S07</x:v>
      </x:c>
      <x:c r="F127" s="16" t="str">
        <x:v>7절 대장</x:v>
      </x:c>
      <x:c r="G127" s="16" t="str">
        <x:v>인서트</x:v>
      </x:c>
      <x:c r="H127" s="16" t="str"/>
      <x:c r="I127" s="16" t="str">
        <x:v>05-1-3</x:v>
      </x:c>
      <x:c r="J127" s="16" t="str">
        <x:v>발판·스캔</x:v>
      </x:c>
      <x:c r="K127" s="16" t="str">
        <x:v>스캔 빔</x:v>
      </x:c>
      <x:c r="L127" s="16" t="str"/>
      <x:c r="M127" s="16" t="str">
        <x:v>위이이잉—</x:v>
      </x:c>
      <x:c r="N127" s="16" t="str">
        <x:v>380px · 여백 좁</x:v>
      </x:c>
      <x:c r="O127" s="16" t="str">
        <x:v>A scanning beam sweeping upward.</x:v>
      </x:c>
      <x:c r="P127" s="16" t="n">
        <x:v>1646</x:v>
      </x:c>
      <x:c r="Q127" s="16" t="str">
        <x:v>SOURCE</x:v>
      </x:c>
    </x:row>
    <x:row r="128" ht="66" customHeight="1">
      <x:c r="A128" s="16" t="str">
        <x:v>B130-130</x:v>
      </x:c>
      <x:c r="B128" s="16" t="str">
        <x:v>130</x:v>
      </x:c>
      <x:c r="C128" s="16" t="str">
        <x:v>130</x:v>
      </x:c>
      <x:c r="D128" s="16" t="n">
        <x:v>1</x:v>
      </x:c>
      <x:c r="E128" s="16" t="str">
        <x:v>EP01-S07</x:v>
      </x:c>
      <x:c r="F128" s="16" t="str">
        <x:v>7절 대장</x:v>
      </x:c>
      <x:c r="G128" s="16" t="str">
        <x:v>인서트</x:v>
      </x:c>
      <x:c r="H128" s="16" t="str"/>
      <x:c r="I128" s="16" t="str">
        <x:v>05-1-4</x:v>
      </x:c>
      <x:c r="J128" s="16" t="str">
        <x:v>평가소 근접판</x:v>
      </x:c>
      <x:c r="K128" s="16" t="str">
        <x:v>인식표 — C</x:v>
      </x:c>
      <x:c r="L128" s="16" t="str"/>
      <x:c r="M128" s="16" t="str">
        <x:v>치익—</x:v>
      </x:c>
      <x:c r="N128" s="16" t="str">
        <x:v>360px · 여백 좁</x:v>
      </x:c>
      <x:c r="O128" s="16" t="str">
        <x:v>A letter C pressed into a tag.</x:v>
      </x:c>
      <x:c r="P128" s="16" t="n">
        <x:v>1659</x:v>
      </x:c>
      <x:c r="Q128" s="16" t="str">
        <x:v>SOURCE</x:v>
      </x:c>
    </x:row>
    <x:row r="129" ht="66" customHeight="1">
      <x:c r="A129" s="16" t="str">
        <x:v>B131-131</x:v>
      </x:c>
      <x:c r="B129" s="16" t="str">
        <x:v>131</x:v>
      </x:c>
      <x:c r="C129" s="16" t="str">
        <x:v>131</x:v>
      </x:c>
      <x:c r="D129" s="16" t="n">
        <x:v>1</x:v>
      </x:c>
      <x:c r="E129" s="16" t="str">
        <x:v>EP01-S07</x:v>
      </x:c>
      <x:c r="F129" s="16" t="str">
        <x:v>7절 대장</x:v>
      </x:c>
      <x:c r="G129" s="16" t="str">
        <x:v>인서트</x:v>
      </x:c>
      <x:c r="H129" s="16" t="str"/>
      <x:c r="I129" s="16" t="str">
        <x:v>05-1-1</x:v>
      </x:c>
      <x:c r="J129" s="16" t="str">
        <x:v>유진 데스크</x:v>
      </x:c>
      <x:c r="K129" s="16" t="str">
        <x:v>서랍이 열린다</x:v>
      </x:c>
      <x:c r="L129" s="16" t="str"/>
      <x:c r="M129" s="16" t="str">
        <x:v>드르륵</x:v>
      </x:c>
      <x:c r="N129" s="16" t="str">
        <x:v>360px · 여백 좁</x:v>
      </x:c>
      <x:c r="O129" s="16" t="str">
        <x:v>A drawer sliding open.</x:v>
      </x:c>
      <x:c r="P129" s="16" t="n">
        <x:v>1672</x:v>
      </x:c>
      <x:c r="Q129" s="16" t="str">
        <x:v>SOURCE</x:v>
      </x:c>
    </x:row>
    <x:row r="130" ht="66" customHeight="1">
      <x:c r="A130" s="16" t="str">
        <x:v>B132-132</x:v>
      </x:c>
      <x:c r="B130" s="16" t="str">
        <x:v>132</x:v>
      </x:c>
      <x:c r="C130" s="16" t="str">
        <x:v>132</x:v>
      </x:c>
      <x:c r="D130" s="16" t="n">
        <x:v>1</x:v>
      </x:c>
      <x:c r="E130" s="16" t="str">
        <x:v>EP01-S07</x:v>
      </x:c>
      <x:c r="F130" s="16" t="str">
        <x:v>7절 대장</x:v>
      </x:c>
      <x:c r="G130" s="16" t="str">
        <x:v>ECU</x:v>
      </x:c>
      <x:c r="H130" s="16" t="str"/>
      <x:c r="I130" s="16" t="str">
        <x:v>05-1-4</x:v>
      </x:c>
      <x:c r="J130" s="16" t="str">
        <x:v>평가소 근접판</x:v>
      </x:c>
      <x:c r="K130" s="16" t="str">
        <x:v>노트. 펜. 한 줄이 늘어난다</x:v>
      </x:c>
      <x:c r="L130" s="16" t="str"/>
      <x:c r="M130" s="16" t="str"/>
      <x:c r="N130" s="16" t="str">
        <x:v>380px · 여백 중</x:v>
      </x:c>
      <x:c r="O130" s="16" t="str">
        <x:v>A notebook gaining one more line.</x:v>
      </x:c>
      <x:c r="P130" s="16" t="n">
        <x:v>1685</x:v>
      </x:c>
      <x:c r="Q130" s="16" t="str">
        <x:v>SOURCE</x:v>
      </x:c>
    </x:row>
    <x:row r="131" ht="66" customHeight="1">
      <x:c r="A131" s="16" t="str">
        <x:v>B133-133</x:v>
      </x:c>
      <x:c r="B131" s="16" t="str">
        <x:v>133</x:v>
      </x:c>
      <x:c r="C131" s="16" t="str">
        <x:v>133</x:v>
      </x:c>
      <x:c r="D131" s="16" t="n">
        <x:v>1</x:v>
      </x:c>
      <x:c r="E131" s="16" t="str">
        <x:v>EP01-S07</x:v>
      </x:c>
      <x:c r="F131" s="16" t="str">
        <x:v>7절 대장</x:v>
      </x:c>
      <x:c r="G131" s="16" t="str">
        <x:v>부감</x:v>
      </x:c>
      <x:c r="H131" s="16" t="str">
        <x:v>⭐🤫🎭</x:v>
      </x:c>
      <x:c r="I131" s="16" t="str">
        <x:v>05-1-4</x:v>
      </x:c>
      <x:c r="J131" s="16" t="str">
        <x:v>평가소 근접판</x:v>
      </x:c>
      <x:c r="K131" s="16" t="str">
        <x:v>노트 페이지 전체. 이름이 빼곡하다</x:v>
      </x:c>
      <x:c r="L131" s="16" t="str"/>
      <x:c r="M131" s="16" t="str"/>
      <x:c r="N131" s="16" t="str">
        <x:v>470px · 여백 극</x:v>
      </x:c>
      <x:c r="O131" s="16" t="str">
        <x:v>Top down of a full notebook page densely filled with handwritten names.</x:v>
      </x:c>
      <x:c r="P131" s="16" t="n">
        <x:v>1697</x:v>
      </x:c>
      <x:c r="Q131" s="16" t="str">
        <x:v>SOURCE</x:v>
      </x:c>
    </x:row>
    <x:row r="132" ht="66" customHeight="1">
      <x:c r="A132" s="16" t="str">
        <x:v>B134-134</x:v>
      </x:c>
      <x:c r="B132" s="16" t="str">
        <x:v>134</x:v>
      </x:c>
      <x:c r="C132" s="16" t="str">
        <x:v>134</x:v>
      </x:c>
      <x:c r="D132" s="16" t="n">
        <x:v>1</x:v>
      </x:c>
      <x:c r="E132" s="16" t="str">
        <x:v>EP01-S07</x:v>
      </x:c>
      <x:c r="F132" s="16" t="str">
        <x:v>7절 대장</x:v>
      </x:c>
      <x:c r="G132" s="16" t="str">
        <x:v>ECU</x:v>
      </x:c>
      <x:c r="H132" s="16" t="str">
        <x:v>🤫</x:v>
      </x:c>
      <x:c r="I132" s="16" t="str">
        <x:v>05-1-4</x:v>
      </x:c>
      <x:c r="J132" s="16" t="str">
        <x:v>평가소 근접판</x:v>
      </x:c>
      <x:c r="K132" s="16" t="str">
        <x:v>페이지 하단 여백. 아직 비어 있다</x:v>
      </x:c>
      <x:c r="L132" s="16" t="str"/>
      <x:c r="M132" s="16" t="str"/>
      <x:c r="N132" s="16" t="str">
        <x:v>380px · 여백 중</x:v>
      </x:c>
      <x:c r="O132" s="16" t="str">
        <x:v>Extreme close on the empty lower margin of a page.</x:v>
      </x:c>
      <x:c r="P132" s="16" t="n">
        <x:v>1709</x:v>
      </x:c>
      <x:c r="Q132" s="16" t="str">
        <x:v>SOURCE</x:v>
      </x:c>
    </x:row>
    <x:row r="133" ht="66" customHeight="1">
      <x:c r="A133" s="16" t="str">
        <x:v>B135-135</x:v>
      </x:c>
      <x:c r="B133" s="16" t="str">
        <x:v>135</x:v>
      </x:c>
      <x:c r="C133" s="16" t="str">
        <x:v>135</x:v>
      </x:c>
      <x:c r="D133" s="16" t="n">
        <x:v>1</x:v>
      </x:c>
      <x:c r="E133" s="16" t="str">
        <x:v>EP01-S07</x:v>
      </x:c>
      <x:c r="F133" s="16" t="str">
        <x:v>7절 대장</x:v>
      </x:c>
      <x:c r="G133" s="16" t="str">
        <x:v>MS 유진</x:v>
      </x:c>
      <x:c r="H133" s="16" t="str"/>
      <x:c r="I133" s="16" t="str">
        <x:v>05-1-1</x:v>
      </x:c>
      <x:c r="J133" s="16" t="str">
        <x:v>유진 데스크</x:v>
      </x:c>
      <x:c r="K133" s="16" t="str">
        <x:v>노트를 덮는다</x:v>
      </x:c>
      <x:c r="L133" s="16" t="str"/>
      <x:c r="M133" s="16" t="str"/>
      <x:c r="N133" s="16" t="str">
        <x:v>400px · 여백 넓</x:v>
      </x:c>
      <x:c r="O133" s="16" t="str">
        <x:v>A woman closing the notebook.</x:v>
      </x:c>
      <x:c r="P133" s="16" t="n">
        <x:v>1721</x:v>
      </x:c>
      <x:c r="Q133" s="16" t="str">
        <x:v>SOURCE</x:v>
      </x:c>
    </x:row>
    <x:row r="134" ht="66" customHeight="1">
      <x:c r="A134" s="16" t="str">
        <x:v>B136-136</x:v>
      </x:c>
      <x:c r="B134" s="16" t="str">
        <x:v>136</x:v>
      </x:c>
      <x:c r="C134" s="16" t="str">
        <x:v>136</x:v>
      </x:c>
      <x:c r="D134" s="16" t="n">
        <x:v>1</x:v>
      </x:c>
      <x:c r="E134" s="16" t="str">
        <x:v>EP01-S07</x:v>
      </x:c>
      <x:c r="F134" s="16" t="str">
        <x:v>7절 대장</x:v>
      </x:c>
      <x:c r="G134" s="16" t="str">
        <x:v>EWIDE 극세로</x:v>
      </x:c>
      <x:c r="H134" s="16" t="str">
        <x:v>🎣</x:v>
      </x:c>
      <x:c r="I134" s="16" t="str">
        <x:v>05-1</x:v>
      </x:c>
      <x:c r="J134" s="16" t="str">
        <x:v>평가소</x:v>
      </x:c>
      <x:c r="K134" s="16" t="str">
        <x:v>평가소 전경. 측정기, 번호판 벽, 서랍</x:v>
      </x:c>
      <x:c r="L134" s="16" t="str">
        <x:v>나레이션: 아무도 몰랐다. / 그 등급이 대체 무엇을 세고 있는 숫자인지.</x:v>
      </x:c>
      <x:c r="M134" s="16" t="str"/>
      <x:c r="N134" s="16" t="str">
        <x:v>1,500px · 여백 극</x:v>
      </x:c>
      <x:c r="O134" s="16" t="str">
        <x:v>Vertical wide view of the whole evaluation office. Platform, number wall, drawer. Empty.</x:v>
      </x:c>
      <x:c r="P134" s="16" t="n">
        <x:v>1733</x:v>
      </x:c>
      <x:c r="Q134" s="16" t="str">
        <x:v>SOURCE</x:v>
      </x:c>
    </x:row>
    <x:row r="135" ht="66" customHeight="1">
      <x:c r="A135" s="16" t="str">
        <x:v>B137-137</x:v>
      </x:c>
      <x:c r="B135" s="16" t="str">
        <x:v>137</x:v>
      </x:c>
      <x:c r="C135" s="16" t="str">
        <x:v>137</x:v>
      </x:c>
      <x:c r="D135" s="16" t="n">
        <x:v>1</x:v>
      </x:c>
      <x:c r="E135" s="16" t="str">
        <x:v>EP01-S08</x:v>
      </x:c>
      <x:c r="F135" s="16" t="str">
        <x:v>8절 인력사무소</x:v>
      </x:c>
      <x:c r="G135" s="16" t="str">
        <x:v>MS</x:v>
      </x:c>
      <x:c r="H135" s="16" t="str"/>
      <x:c r="I135" s="16" t="str">
        <x:v>06-1</x:v>
      </x:c>
      <x:c r="J135" s="16" t="str">
        <x:v>사무소</x:v>
      </x:c>
      <x:c r="K135" s="16" t="str">
        <x:v>지하 인력사무소. 서류더미, 낡은 CRT 모니터</x:v>
      </x:c>
      <x:c r="L135" s="16" t="str"/>
      <x:c r="M135" s="16" t="str"/>
      <x:c r="N135" s="16" t="str">
        <x:v>430px · 여백 좁</x:v>
      </x:c>
      <x:c r="O135" s="16" t="str">
        <x:v>A cramped underground office. Paper stacks, an old CRT monitor.</x:v>
      </x:c>
      <x:c r="P135" s="16" t="n">
        <x:v>1752</x:v>
      </x:c>
      <x:c r="Q135" s="16" t="str">
        <x:v>SOURCE</x:v>
      </x:c>
    </x:row>
    <x:row r="136" ht="66" customHeight="1">
      <x:c r="A136" s="16" t="str">
        <x:v>B138-138</x:v>
      </x:c>
      <x:c r="B136" s="16" t="str">
        <x:v>138</x:v>
      </x:c>
      <x:c r="C136" s="16" t="str">
        <x:v>138</x:v>
      </x:c>
      <x:c r="D136" s="16" t="n">
        <x:v>1</x:v>
      </x:c>
      <x:c r="E136" s="16" t="str">
        <x:v>EP01-S08</x:v>
      </x:c>
      <x:c r="F136" s="16" t="str">
        <x:v>8절 인력사무소</x:v>
      </x:c>
      <x:c r="G136" s="16" t="str">
        <x:v>MS</x:v>
      </x:c>
      <x:c r="H136" s="16" t="str"/>
      <x:c r="I136" s="16" t="str">
        <x:v>06-1</x:v>
      </x:c>
      <x:c r="J136" s="16" t="str">
        <x:v>사무소</x:v>
      </x:c>
      <x:c r="K136" s="16" t="str">
        <x:v>마태오. 입에 담배. 불이 안 붙어 있다</x:v>
      </x:c>
      <x:c r="L136" s="16" t="str"/>
      <x:c r="M136" s="16" t="str"/>
      <x:c r="N136" s="16" t="str">
        <x:v>430px · 여백 중</x:v>
      </x:c>
      <x:c r="O136" s="16" t="str">
        <x:v>A weathered older man at a desk, an unlit cigarette in his mouth.</x:v>
      </x:c>
      <x:c r="P136" s="16" t="n">
        <x:v>1764</x:v>
      </x:c>
      <x:c r="Q136" s="16" t="str">
        <x:v>SOURCE</x:v>
      </x:c>
    </x:row>
    <x:row r="137" ht="66" customHeight="1">
      <x:c r="A137" s="16" t="str">
        <x:v>B139-139</x:v>
      </x:c>
      <x:c r="B137" s="16" t="str">
        <x:v>139</x:v>
      </x:c>
      <x:c r="C137" s="16" t="str">
        <x:v>139</x:v>
      </x:c>
      <x:c r="D137" s="16" t="n">
        <x:v>1</x:v>
      </x:c>
      <x:c r="E137" s="16" t="str">
        <x:v>EP01-S08</x:v>
      </x:c>
      <x:c r="F137" s="16" t="str">
        <x:v>8절 인력사무소</x:v>
      </x:c>
      <x:c r="G137" s="16" t="str">
        <x:v>ECU</x:v>
      </x:c>
      <x:c r="H137" s="16" t="str"/>
      <x:c r="I137" s="16" t="str">
        <x:v>06-1-3</x:v>
      </x:c>
      <x:c r="J137" s="16" t="str">
        <x:v>사무소 근접판</x:v>
      </x:c>
      <x:c r="K137" s="16" t="str">
        <x:v>담배 끝. 타지 않았다</x:v>
      </x:c>
      <x:c r="L137" s="16" t="str"/>
      <x:c r="M137" s="16" t="str"/>
      <x:c r="N137" s="16" t="str">
        <x:v>360px · 여백 좁</x:v>
      </x:c>
      <x:c r="O137" s="16" t="str">
        <x:v>Extreme close on a cigarette tip. Not burning.</x:v>
      </x:c>
      <x:c r="P137" s="16" t="n">
        <x:v>1776</x:v>
      </x:c>
      <x:c r="Q137" s="16" t="str">
        <x:v>SOURCE</x:v>
      </x:c>
    </x:row>
    <x:row r="138" ht="66" customHeight="1">
      <x:c r="A138" s="16" t="str">
        <x:v>B140-140</x:v>
      </x:c>
      <x:c r="B138" s="16" t="str">
        <x:v>140</x:v>
      </x:c>
      <x:c r="C138" s="16" t="str">
        <x:v>140</x:v>
      </x:c>
      <x:c r="D138" s="16" t="n">
        <x:v>1</x:v>
      </x:c>
      <x:c r="E138" s="16" t="str">
        <x:v>EP01-S08</x:v>
      </x:c>
      <x:c r="F138" s="16" t="str">
        <x:v>8절 인력사무소</x:v>
      </x:c>
      <x:c r="G138" s="16" t="str">
        <x:v>MS</x:v>
      </x:c>
      <x:c r="H138" s="16" t="str">
        <x:v>🤫</x:v>
      </x:c>
      <x:c r="I138" s="16" t="str">
        <x:v>06-1</x:v>
      </x:c>
      <x:c r="J138" s="16" t="str">
        <x:v>사무소</x:v>
      </x:c>
      <x:c r="K138" s="16" t="str">
        <x:v>마태오가 CRT를 등지고 앉아 있다. 화면을 보지 않는다</x:v>
      </x:c>
      <x:c r="L138" s="16" t="str"/>
      <x:c r="M138" s="16" t="str"/>
      <x:c r="N138" s="16" t="str">
        <x:v>430px · 여백 중</x:v>
      </x:c>
      <x:c r="O138" s="16" t="str">
        <x:v>A man seated with his back to a CRT monitor. He never looks at it.</x:v>
      </x:c>
      <x:c r="P138" s="16" t="n">
        <x:v>1788</x:v>
      </x:c>
      <x:c r="Q138" s="16" t="str">
        <x:v>SOURCE</x:v>
      </x:c>
    </x:row>
    <x:row r="139" ht="66" customHeight="1">
      <x:c r="A139" s="16" t="str">
        <x:v>B141-141</x:v>
      </x:c>
      <x:c r="B139" s="16" t="str">
        <x:v>141</x:v>
      </x:c>
      <x:c r="C139" s="16" t="str">
        <x:v>141</x:v>
      </x:c>
      <x:c r="D139" s="16" t="n">
        <x:v>1</x:v>
      </x:c>
      <x:c r="E139" s="16" t="str">
        <x:v>EP01-S08</x:v>
      </x:c>
      <x:c r="F139" s="16" t="str">
        <x:v>8절 인력사무소</x:v>
      </x:c>
      <x:c r="G139" s="16" t="str">
        <x:v>CU</x:v>
      </x:c>
      <x:c r="H139" s="16" t="str">
        <x:v>🤫</x:v>
      </x:c>
      <x:c r="I139" s="16" t="str">
        <x:v>06-1</x:v>
      </x:c>
      <x:c r="J139" s="16" t="str">
        <x:v>사무소</x:v>
      </x:c>
      <x:c r="K139" s="16" t="str">
        <x:v>화면에는 영상이 돌고 있다. 아무도 안 본다</x:v>
      </x:c>
      <x:c r="L139" s="16" t="str"/>
      <x:c r="M139" s="16" t="str"/>
      <x:c r="N139" s="16" t="str">
        <x:v>380px · 여백 좁</x:v>
      </x:c>
      <x:c r="O139" s="16" t="str">
        <x:v>A CRT screen playing something. Nobody is watching.</x:v>
      </x:c>
      <x:c r="P139" s="16" t="n">
        <x:v>1800</x:v>
      </x:c>
      <x:c r="Q139" s="16" t="str">
        <x:v>SOURCE</x:v>
      </x:c>
    </x:row>
    <x:row r="140" ht="66" customHeight="1">
      <x:c r="A140" s="16" t="str">
        <x:v>B142-142</x:v>
      </x:c>
      <x:c r="B140" s="16" t="str">
        <x:v>142</x:v>
      </x:c>
      <x:c r="C140" s="16" t="str">
        <x:v>142</x:v>
      </x:c>
      <x:c r="D140" s="16" t="n">
        <x:v>1</x:v>
      </x:c>
      <x:c r="E140" s="16" t="str">
        <x:v>EP01-S08</x:v>
      </x:c>
      <x:c r="F140" s="16" t="str">
        <x:v>8절 인력사무소</x:v>
      </x:c>
      <x:c r="G140" s="16" t="str">
        <x:v>MS</x:v>
      </x:c>
      <x:c r="H140" s="16" t="str"/>
      <x:c r="I140" s="16" t="str">
        <x:v>06-1</x:v>
      </x:c>
      <x:c r="J140" s="16" t="str">
        <x:v>사무소</x:v>
      </x:c>
      <x:c r="K140" s="16" t="str">
        <x:v>두 사람이 들어온다. 카인이 반보 뒤</x:v>
      </x:c>
      <x:c r="L140" s="16" t="str"/>
      <x:c r="M140" s="16" t="str"/>
      <x:c r="N140" s="16" t="str">
        <x:v>470px · 여백 좁</x:v>
      </x:c>
      <x:c r="O140" s="16" t="str">
        <x:v>Two people entering an office. The larger one stands half a step behind.</x:v>
      </x:c>
      <x:c r="P140" s="16" t="n">
        <x:v>1812</x:v>
      </x:c>
      <x:c r="Q140" s="16" t="str">
        <x:v>SOURCE</x:v>
      </x:c>
    </x:row>
    <x:row r="141" ht="66" customHeight="1">
      <x:c r="A141" s="16" t="str">
        <x:v>B143-143</x:v>
      </x:c>
      <x:c r="B141" s="16" t="str">
        <x:v>143</x:v>
      </x:c>
      <x:c r="C141" s="16" t="str">
        <x:v>143</x:v>
      </x:c>
      <x:c r="D141" s="16" t="n">
        <x:v>1</x:v>
      </x:c>
      <x:c r="E141" s="16" t="str">
        <x:v>EP01-S08</x:v>
      </x:c>
      <x:c r="F141" s="16" t="str">
        <x:v>8절 인력사무소</x:v>
      </x:c>
      <x:c r="G141" s="16" t="str">
        <x:v>CU 마태오</x:v>
      </x:c>
      <x:c r="H141" s="16" t="str"/>
      <x:c r="I141" s="16" t="str">
        <x:v>06-1-3</x:v>
      </x:c>
      <x:c r="J141" s="16" t="str">
        <x:v>사무소 근접판</x:v>
      </x:c>
      <x:c r="K141" s="16" t="str">
        <x:v>인식표를 흘끗 본다</x:v>
      </x:c>
      <x:c r="L141" s="16" t="str">
        <x:v>대사 · 마태오: 「…C 둘.」</x:v>
      </x:c>
      <x:c r="M141" s="16" t="str"/>
      <x:c r="N141" s="16" t="str">
        <x:v>400px · 여백 중</x:v>
      </x:c>
      <x:c r="O141" s="16" t="str">
        <x:v>An older man glancing at two metal tags.</x:v>
      </x:c>
      <x:c r="P141" s="16" t="n">
        <x:v>1824</x:v>
      </x:c>
      <x:c r="Q141" s="16" t="str">
        <x:v>SOURCE</x:v>
      </x:c>
    </x:row>
    <x:row r="142" ht="66" customHeight="1">
      <x:c r="A142" s="16" t="str">
        <x:v>B144-144</x:v>
      </x:c>
      <x:c r="B142" s="16" t="str">
        <x:v>144</x:v>
      </x:c>
      <x:c r="C142" s="16" t="str">
        <x:v>144</x:v>
      </x:c>
      <x:c r="D142" s="16" t="n">
        <x:v>1</x:v>
      </x:c>
      <x:c r="E142" s="16" t="str">
        <x:v>EP01-S08</x:v>
      </x:c>
      <x:c r="F142" s="16" t="str">
        <x:v>8절 인력사무소</x:v>
      </x:c>
      <x:c r="G142" s="16" t="str">
        <x:v>MS</x:v>
      </x:c>
      <x:c r="H142" s="16" t="str"/>
      <x:c r="I142" s="16" t="str">
        <x:v>06-1-1</x:v>
      </x:c>
      <x:c r="J142" s="16" t="str">
        <x:v>책상 부감</x:v>
      </x:c>
      <x:c r="K142" s="16" t="str">
        <x:v>서류를 던져 놓는다</x:v>
      </x:c>
      <x:c r="L142" s="16" t="str"/>
      <x:c r="M142" s="16" t="str">
        <x:v>툭</x:v>
      </x:c>
      <x:c r="N142" s="16" t="str">
        <x:v>380px · 여백 좁</x:v>
      </x:c>
      <x:c r="O142" s="16" t="str">
        <x:v>Top down. A document tossed onto a desk.</x:v>
      </x:c>
      <x:c r="P142" s="16" t="n">
        <x:v>1837</x:v>
      </x:c>
      <x:c r="Q142" s="16" t="str">
        <x:v>SOURCE</x:v>
      </x:c>
    </x:row>
    <x:row r="143" ht="66" customHeight="1">
      <x:c r="A143" s="16" t="str">
        <x:v>B145-145</x:v>
      </x:c>
      <x:c r="B143" s="16" t="str">
        <x:v>145</x:v>
      </x:c>
      <x:c r="C143" s="16" t="str">
        <x:v>145</x:v>
      </x:c>
      <x:c r="D143" s="16" t="n">
        <x:v>1</x:v>
      </x:c>
      <x:c r="E143" s="16" t="str">
        <x:v>EP01-S08</x:v>
      </x:c>
      <x:c r="F143" s="16" t="str">
        <x:v>8절 인력사무소</x:v>
      </x:c>
      <x:c r="G143" s="16" t="str">
        <x:v>인서트</x:v>
      </x:c>
      <x:c r="H143" s="16" t="str"/>
      <x:c r="I143" s="16" t="str">
        <x:v>06-1-1</x:v>
      </x:c>
      <x:c r="J143" s="16" t="str">
        <x:v>책상 부감</x:v>
      </x:c>
      <x:c r="K143" s="16" t="str">
        <x:v>의뢰서. 상단에 「강남역 지하상가」</x:v>
      </x:c>
      <x:c r="L143" s="16" t="str"/>
      <x:c r="M143" s="16" t="str"/>
      <x:c r="N143" s="16" t="str">
        <x:v>380px · 여백 좁</x:v>
      </x:c>
      <x:c r="O143" s="16" t="str">
        <x:v>A work order sheet. A place name printed at the top.</x:v>
      </x:c>
      <x:c r="P143" s="16" t="n">
        <x:v>1850</x:v>
      </x:c>
      <x:c r="Q143" s="16" t="str">
        <x:v>SOURCE</x:v>
      </x:c>
    </x:row>
    <x:row r="144" ht="66" customHeight="1">
      <x:c r="A144" s="16" t="str">
        <x:v>B146-146</x:v>
      </x:c>
      <x:c r="B144" s="16" t="str">
        <x:v>146</x:v>
      </x:c>
      <x:c r="C144" s="16" t="str">
        <x:v>146</x:v>
      </x:c>
      <x:c r="D144" s="16" t="n">
        <x:v>1</x:v>
      </x:c>
      <x:c r="E144" s="16" t="str">
        <x:v>EP01-S08</x:v>
      </x:c>
      <x:c r="F144" s="16" t="str">
        <x:v>8절 인력사무소</x:v>
      </x:c>
      <x:c r="G144" s="16" t="str">
        <x:v>CU 카인</x:v>
      </x:c>
      <x:c r="H144" s="16" t="str"/>
      <x:c r="I144" s="16" t="str">
        <x:v>06-1-3</x:v>
      </x:c>
      <x:c r="J144" s="16" t="str">
        <x:v>사무소 근접판</x:v>
      </x:c>
      <x:c r="K144" s="16" t="str">
        <x:v>금액란을 본다. 눈이 커진다</x:v>
      </x:c>
      <x:c r="L144" s="16" t="str"/>
      <x:c r="M144" s="16" t="str"/>
      <x:c r="N144" s="16" t="str">
        <x:v>400px · 여백 좁</x:v>
      </x:c>
      <x:c r="O144" s="16" t="str">
        <x:v>A large man's eyes widening as he reads a figure.</x:v>
      </x:c>
      <x:c r="P144" s="16" t="n">
        <x:v>1862</x:v>
      </x:c>
      <x:c r="Q144" s="16" t="str">
        <x:v>SOURCE</x:v>
      </x:c>
    </x:row>
    <x:row r="145" ht="66" customHeight="1">
      <x:c r="A145" s="16" t="str">
        <x:v>B147-147</x:v>
      </x:c>
      <x:c r="B145" s="16" t="str">
        <x:v>147</x:v>
      </x:c>
      <x:c r="C145" s="16" t="str">
        <x:v>147</x:v>
      </x:c>
      <x:c r="D145" s="16" t="n">
        <x:v>1</x:v>
      </x:c>
      <x:c r="E145" s="16" t="str">
        <x:v>EP01-S08</x:v>
      </x:c>
      <x:c r="F145" s="16" t="str">
        <x:v>8절 인력사무소</x:v>
      </x:c>
      <x:c r="G145" s="16" t="str">
        <x:v>MS 마태오</x:v>
      </x:c>
      <x:c r="H145" s="16" t="str"/>
      <x:c r="I145" s="16" t="str">
        <x:v>06-1-3</x:v>
      </x:c>
      <x:c r="J145" s="16" t="str">
        <x:v>사무소 근접판</x:v>
      </x:c>
      <x:c r="K145" s="16" t="str">
        <x:v>담배를 옮겨 문다</x:v>
      </x:c>
      <x:c r="L145" s="16" t="str">
        <x:v>대사 · 마태오: 「그전에. 실기 본다.」</x:v>
      </x:c>
      <x:c r="M145" s="16" t="str"/>
      <x:c r="N145" s="16" t="str">
        <x:v>400px · 여백 중</x:v>
      </x:c>
      <x:c r="O145" s="16" t="str">
        <x:v>An older man shifting the unlit cigarette to the other side of his mouth.</x:v>
      </x:c>
      <x:c r="P145" s="16" t="n">
        <x:v>1874</x:v>
      </x:c>
      <x:c r="Q145" s="16" t="str">
        <x:v>SOURCE</x:v>
      </x:c>
    </x:row>
    <x:row r="146" ht="66" customHeight="1">
      <x:c r="A146" s="16" t="str">
        <x:v>B148-148</x:v>
      </x:c>
      <x:c r="B146" s="16" t="str">
        <x:v>148</x:v>
      </x:c>
      <x:c r="C146" s="16" t="str">
        <x:v>148</x:v>
      </x:c>
      <x:c r="D146" s="16" t="n">
        <x:v>1</x:v>
      </x:c>
      <x:c r="E146" s="16" t="str">
        <x:v>EP01-S08</x:v>
      </x:c>
      <x:c r="F146" s="16" t="str">
        <x:v>8절 인력사무소</x:v>
      </x:c>
      <x:c r="G146" s="16" t="str">
        <x:v>CU 카인</x:v>
      </x:c>
      <x:c r="H146" s="16" t="str"/>
      <x:c r="I146" s="16" t="str">
        <x:v>06-1-3</x:v>
      </x:c>
      <x:c r="J146" s="16" t="str">
        <x:v>사무소 근접판</x:v>
      </x:c>
      <x:c r="K146" s="16" t="str"/>
      <x:c r="L146" s="16" t="str">
        <x:v>대사 · 카인: 「실기요?」</x:v>
      </x:c>
      <x:c r="M146" s="16" t="str"/>
      <x:c r="N146" s="16" t="str">
        <x:v>380px · 여백 좁</x:v>
      </x:c>
      <x:c r="O146" s="16" t="str">
        <x:v>A large man, puzzled.</x:v>
      </x:c>
      <x:c r="P146" s="16" t="n">
        <x:v>1887</x:v>
      </x:c>
      <x:c r="Q146" s="16" t="str">
        <x:v>SOURCE</x:v>
      </x:c>
    </x:row>
    <x:row r="147" ht="66" customHeight="1">
      <x:c r="A147" s="16" t="str">
        <x:v>B149-149</x:v>
      </x:c>
      <x:c r="B147" s="16" t="str">
        <x:v>149</x:v>
      </x:c>
      <x:c r="C147" s="16" t="str">
        <x:v>149</x:v>
      </x:c>
      <x:c r="D147" s="16" t="n">
        <x:v>1</x:v>
      </x:c>
      <x:c r="E147" s="16" t="str">
        <x:v>EP01-S08</x:v>
      </x:c>
      <x:c r="F147" s="16" t="str">
        <x:v>8절 인력사무소</x:v>
      </x:c>
      <x:c r="G147" s="16" t="str">
        <x:v>MS 마태오</x:v>
      </x:c>
      <x:c r="H147" s="16" t="str"/>
      <x:c r="I147" s="16" t="str">
        <x:v>06-1</x:v>
      </x:c>
      <x:c r="J147" s="16" t="str">
        <x:v>사무소</x:v>
      </x:c>
      <x:c r="K147" s="16" t="str">
        <x:v>일어선다. 여전히 CRT를 안 본다</x:v>
      </x:c>
      <x:c r="L147" s="16" t="str">
        <x:v>대사 · 마태오: 「등록만 하면 다 용병인 줄 알아.」</x:v>
      </x:c>
      <x:c r="M147" s="16" t="str"/>
      <x:c r="N147" s="16" t="str">
        <x:v>430px · 여백 넓</x:v>
      </x:c>
      <x:c r="O147" s="16" t="str">
        <x:v>An older man standing up, still not looking at the monitor.</x:v>
      </x:c>
      <x:c r="P147" s="16" t="n">
        <x:v>1900</x:v>
      </x:c>
      <x:c r="Q147" s="16" t="str">
        <x:v>SOURCE</x:v>
      </x:c>
    </x:row>
    <x:row r="148" ht="66" customHeight="1">
      <x:c r="A148" s="16" t="str">
        <x:v>B150-150</x:v>
      </x:c>
      <x:c r="B148" s="16" t="str">
        <x:v>150</x:v>
      </x:c>
      <x:c r="C148" s="16" t="str">
        <x:v>150</x:v>
      </x:c>
      <x:c r="D148" s="16" t="n">
        <x:v>1</x:v>
      </x:c>
      <x:c r="E148" s="16" t="str">
        <x:v>EP01-S09</x:v>
      </x:c>
      <x:c r="F148" s="16" t="str">
        <x:v>8절 훈련장 진입</x:v>
      </x:c>
      <x:c r="G148" s="16" t="str">
        <x:v>극세로 부감</x:v>
      </x:c>
      <x:c r="H148" s="16" t="str"/>
      <x:c r="I148" s="16" t="str">
        <x:v>07-1-2</x:v>
      </x:c>
      <x:c r="J148" s="16" t="str">
        <x:v>훈련장 계단</x:v>
      </x:c>
      <x:c r="K148" s="16" t="str">
        <x:v>지하 훈련장으로 내려가는 계단</x:v>
      </x:c>
      <x:c r="L148" s="16" t="str"/>
      <x:c r="M148" s="16" t="str"/>
      <x:c r="N148" s="16" t="str">
        <x:v>900px · 여백 좁</x:v>
      </x:c>
      <x:c r="O148" s="16" t="str">
        <x:v>A staircase descending into a large underground hall, seen from above.</x:v>
      </x:c>
      <x:c r="P148" s="16" t="n">
        <x:v>1919</x:v>
      </x:c>
      <x:c r="Q148" s="16" t="str">
        <x:v>SOURCE</x:v>
      </x:c>
    </x:row>
    <x:row r="149" ht="66" customHeight="1">
      <x:c r="A149" s="16" t="str">
        <x:v>B151-151</x:v>
      </x:c>
      <x:c r="B149" s="16" t="str">
        <x:v>151</x:v>
      </x:c>
      <x:c r="C149" s="16" t="str">
        <x:v>151</x:v>
      </x:c>
      <x:c r="D149" s="16" t="n">
        <x:v>1</x:v>
      </x:c>
      <x:c r="E149" s="16" t="str">
        <x:v>EP01-S09</x:v>
      </x:c>
      <x:c r="F149" s="16" t="str">
        <x:v>8절 훈련장 진입</x:v>
      </x:c>
      <x:c r="G149" s="16" t="str">
        <x:v>EWIDE 블리드</x:v>
      </x:c>
      <x:c r="H149" s="16" t="str">
        <x:v>⭐</x:v>
      </x:c>
      <x:c r="I149" s="16" t="str">
        <x:v>07-1</x:v>
      </x:c>
      <x:c r="J149" s="16" t="str">
        <x:v>훈련장 냉백</x:v>
      </x:c>
      <x:c r="K149" s="16" t="str">
        <x:v>훈련장. 텅 빈 콘크리트 바닥. 천장이 높다</x:v>
      </x:c>
      <x:c r="L149" s="16" t="str"/>
      <x:c r="M149" s="16" t="str">
        <x:v>웅—</x:v>
      </x:c>
      <x:c r="N149" s="16" t="str">
        <x:v>1,500px · 여백 넓</x:v>
      </x:c>
      <x:c r="O149" s="16" t="str">
        <x:v>A vast empty underground training hall. Bare concrete floor, high ceiling. Completely empty.</x:v>
      </x:c>
      <x:c r="P149" s="16" t="n">
        <x:v>1931</x:v>
      </x:c>
      <x:c r="Q149" s="16" t="str">
        <x:v>SOURCE</x:v>
      </x:c>
    </x:row>
    <x:row r="150" ht="66" customHeight="1">
      <x:c r="A150" s="16" t="str">
        <x:v>B152-152</x:v>
      </x:c>
      <x:c r="B150" s="16" t="str">
        <x:v>152</x:v>
      </x:c>
      <x:c r="C150" s="16" t="str">
        <x:v>152</x:v>
      </x:c>
      <x:c r="D150" s="16" t="n">
        <x:v>1</x:v>
      </x:c>
      <x:c r="E150" s="16" t="str">
        <x:v>EP01-S09</x:v>
      </x:c>
      <x:c r="F150" s="16" t="str">
        <x:v>8절 훈련장 진입</x:v>
      </x:c>
      <x:c r="G150" s="16" t="str">
        <x:v>WIDE</x:v>
      </x:c>
      <x:c r="H150" s="16" t="str"/>
      <x:c r="I150" s="16" t="str">
        <x:v>07-1-3</x:v>
      </x:c>
      <x:c r="J150" s="16" t="str">
        <x:v>훈련장 근접판 냉백</x:v>
      </x:c>
      <x:c r="K150" s="16" t="str">
        <x:v>바닥 한가운데. 철사슬로 묶인 훈련용 짚단 허수아비</x:v>
      </x:c>
      <x:c r="L150" s="16" t="str"/>
      <x:c r="M150" s="16" t="str"/>
      <x:c r="N150" s="16" t="str">
        <x:v>470px · 여백 중</x:v>
      </x:c>
      <x:c r="O150" s="16" t="str">
        <x:v>A straw training dummy bound with chains, standing alone on a concrete floor.</x:v>
      </x:c>
      <x:c r="P150" s="16" t="n">
        <x:v>1944</x:v>
      </x:c>
      <x:c r="Q150" s="16" t="str">
        <x:v>SOURCE</x:v>
      </x:c>
    </x:row>
    <x:row r="151" ht="66" customHeight="1">
      <x:c r="A151" s="16" t="str">
        <x:v>B153-153</x:v>
      </x:c>
      <x:c r="B151" s="16" t="str">
        <x:v>153</x:v>
      </x:c>
      <x:c r="C151" s="16" t="str">
        <x:v>153</x:v>
      </x:c>
      <x:c r="D151" s="16" t="n">
        <x:v>1</x:v>
      </x:c>
      <x:c r="E151" s="16" t="str">
        <x:v>EP01-S09</x:v>
      </x:c>
      <x:c r="F151" s="16" t="str">
        <x:v>8절 훈련장 진입</x:v>
      </x:c>
      <x:c r="G151" s="16" t="str">
        <x:v>MS</x:v>
      </x:c>
      <x:c r="H151" s="16" t="str"/>
      <x:c r="I151" s="16" t="str">
        <x:v>07-1-3</x:v>
      </x:c>
      <x:c r="J151" s="16" t="str">
        <x:v>훈련장 근접판 냉백</x:v>
      </x:c>
      <x:c r="K151" s="16" t="str">
        <x:v>3미터. 짚과 철사가 엉켜 있다</x:v>
      </x:c>
      <x:c r="L151" s="16" t="str"/>
      <x:c r="M151" s="16" t="str"/>
      <x:c r="N151" s="16" t="str">
        <x:v>430px · 여백 좁</x:v>
      </x:c>
      <x:c r="O151" s="16" t="str">
        <x:v>Close on a three meter straw dummy. Straw and wire tangled together.</x:v>
      </x:c>
      <x:c r="P151" s="16" t="n">
        <x:v>1956</x:v>
      </x:c>
      <x:c r="Q151" s="16" t="str">
        <x:v>SOURCE</x:v>
      </x:c>
    </x:row>
    <x:row r="152" ht="66" customHeight="1">
      <x:c r="A152" s="16" t="str">
        <x:v>B154-154</x:v>
      </x:c>
      <x:c r="B152" s="16" t="str">
        <x:v>154</x:v>
      </x:c>
      <x:c r="C152" s="16" t="str">
        <x:v>154</x:v>
      </x:c>
      <x:c r="D152" s="16" t="n">
        <x:v>1</x:v>
      </x:c>
      <x:c r="E152" s="16" t="str">
        <x:v>EP01-S09</x:v>
      </x:c>
      <x:c r="F152" s="16" t="str">
        <x:v>8절 훈련장 진입</x:v>
      </x:c>
      <x:c r="G152" s="16" t="str">
        <x:v>인서트</x:v>
      </x:c>
      <x:c r="H152" s="16" t="str">
        <x:v>🎣</x:v>
      </x:c>
      <x:c r="I152" s="16" t="str">
        <x:v>07-1-1</x:v>
      </x:c>
      <x:c r="J152" s="16" t="str">
        <x:v>훈련장 바닥</x:v>
      </x:c>
      <x:c r="K152" s="16" t="str">
        <x:v>발밑 바닥에 원형 문양. 오래된 각인</x:v>
      </x:c>
      <x:c r="L152" s="16" t="str"/>
      <x:c r="M152" s="16" t="str"/>
      <x:c r="N152" s="16" t="str">
        <x:v>400px · 여백 중</x:v>
      </x:c>
      <x:c r="O152" s="16" t="str">
        <x:v>Top down on a concrete floor. A faint worn circular sigil. Do not emphasize.</x:v>
      </x:c>
      <x:c r="P152" s="16" t="n">
        <x:v>1968</x:v>
      </x:c>
      <x:c r="Q152" s="16" t="str">
        <x:v>SOURCE</x:v>
      </x:c>
    </x:row>
    <x:row r="153" ht="66" customHeight="1">
      <x:c r="A153" s="16" t="str">
        <x:v>B155-155</x:v>
      </x:c>
      <x:c r="B153" s="16" t="str">
        <x:v>155</x:v>
      </x:c>
      <x:c r="C153" s="16" t="str">
        <x:v>155</x:v>
      </x:c>
      <x:c r="D153" s="16" t="n">
        <x:v>1</x:v>
      </x:c>
      <x:c r="E153" s="16" t="str">
        <x:v>EP01-S09</x:v>
      </x:c>
      <x:c r="F153" s="16" t="str">
        <x:v>8절 훈련장 진입</x:v>
      </x:c>
      <x:c r="G153" s="16" t="str">
        <x:v>MS 마태오</x:v>
      </x:c>
      <x:c r="H153" s="16" t="str"/>
      <x:c r="I153" s="16" t="str">
        <x:v>07-1-3</x:v>
      </x:c>
      <x:c r="J153" s="16" t="str">
        <x:v>훈련장 근접판 냉백</x:v>
      </x:c>
      <x:c r="K153" s="16" t="str">
        <x:v>관측창 쪽으로 걸어간다</x:v>
      </x:c>
      <x:c r="L153" s="16" t="str">
        <x:v>대사 · 마태오: 「쳐라.」</x:v>
      </x:c>
      <x:c r="M153" s="16" t="str"/>
      <x:c r="N153" s="16" t="str">
        <x:v>430px · 여백 좁</x:v>
      </x:c>
      <x:c r="O153" s="16" t="str">
        <x:v>An older man walking toward an observation window.</x:v>
      </x:c>
      <x:c r="P153" s="16" t="n">
        <x:v>1980</x:v>
      </x:c>
      <x:c r="Q153" s="16" t="str">
        <x:v>SOURCE</x:v>
      </x:c>
    </x:row>
    <x:row r="154" ht="66" customHeight="1">
      <x:c r="A154" s="16" t="str">
        <x:v>B156-156</x:v>
      </x:c>
      <x:c r="B154" s="16" t="str">
        <x:v>156</x:v>
      </x:c>
      <x:c r="C154" s="16" t="str">
        <x:v>156</x:v>
      </x:c>
      <x:c r="D154" s="16" t="n">
        <x:v>1</x:v>
      </x:c>
      <x:c r="E154" s="16" t="str">
        <x:v>EP01-S09</x:v>
      </x:c>
      <x:c r="F154" s="16" t="str">
        <x:v>8절 훈련장 진입</x:v>
      </x:c>
      <x:c r="G154" s="16" t="str">
        <x:v>CU 카인</x:v>
      </x:c>
      <x:c r="H154" s="16" t="str"/>
      <x:c r="I154" s="16" t="str">
        <x:v>07-1-3</x:v>
      </x:c>
      <x:c r="J154" s="16" t="str">
        <x:v>훈련장 근접판 냉백</x:v>
      </x:c>
      <x:c r="K154" s="16" t="str"/>
      <x:c r="L154" s="16" t="str">
        <x:v>대사 · 카인: 「저 짚단을요?」</x:v>
      </x:c>
      <x:c r="M154" s="16" t="str"/>
      <x:c r="N154" s="16" t="str">
        <x:v>400px · 여백 좁</x:v>
      </x:c>
      <x:c r="O154" s="16" t="str">
        <x:v>A large man looking at the dummy.</x:v>
      </x:c>
      <x:c r="P154" s="16" t="n">
        <x:v>1993</x:v>
      </x:c>
      <x:c r="Q154" s="16" t="str">
        <x:v>SOURCE</x:v>
      </x:c>
    </x:row>
    <x:row r="155" ht="66" customHeight="1">
      <x:c r="A155" s="16" t="str">
        <x:v>B157-157</x:v>
      </x:c>
      <x:c r="B155" s="16" t="str">
        <x:v>157</x:v>
      </x:c>
      <x:c r="C155" s="16" t="str">
        <x:v>157</x:v>
      </x:c>
      <x:c r="D155" s="16" t="n">
        <x:v>1</x:v>
      </x:c>
      <x:c r="E155" s="16" t="str">
        <x:v>EP01-S09</x:v>
      </x:c>
      <x:c r="F155" s="16" t="str">
        <x:v>8절 훈련장 진입</x:v>
      </x:c>
      <x:c r="G155" s="16" t="str">
        <x:v>MS 마태오</x:v>
      </x:c>
      <x:c r="H155" s="16" t="str"/>
      <x:c r="I155" s="16" t="str">
        <x:v>07-1-3</x:v>
      </x:c>
      <x:c r="J155" s="16" t="str">
        <x:v>훈련장 근접판 냉백</x:v>
      </x:c>
      <x:c r="K155" s="16" t="str">
        <x:v>돌아보지 않는다</x:v>
      </x:c>
      <x:c r="L155" s="16" t="str">
        <x:v>대사 · 마태오: 「30만 원짜리다. 살살.」</x:v>
      </x:c>
      <x:c r="M155" s="16" t="str"/>
      <x:c r="N155" s="16" t="str">
        <x:v>400px · 여백 넓</x:v>
      </x:c>
      <x:c r="O155" s="16" t="str">
        <x:v>An older man speaking without turning around.</x:v>
      </x:c>
      <x:c r="P155" s="16" t="n">
        <x:v>2006</x:v>
      </x:c>
      <x:c r="Q155" s="16" t="str">
        <x:v>SOURCE</x:v>
      </x:c>
    </x:row>
    <x:row r="156" ht="66" customHeight="1">
      <x:c r="A156" s="16" t="str">
        <x:v>B158-158</x:v>
      </x:c>
      <x:c r="B156" s="16" t="str">
        <x:v>158</x:v>
      </x:c>
      <x:c r="C156" s="16" t="str">
        <x:v>158</x:v>
      </x:c>
      <x:c r="D156" s="16" t="n">
        <x:v>1</x:v>
      </x:c>
      <x:c r="E156" s="16" t="str">
        <x:v>EP01-S09</x:v>
      </x:c>
      <x:c r="F156" s="16" t="str">
        <x:v>8절 훈련장 진입</x:v>
      </x:c>
      <x:c r="G156" s="16" t="str">
        <x:v>WIDE</x:v>
      </x:c>
      <x:c r="H156" s="16" t="str"/>
      <x:c r="I156" s="16" t="str">
        <x:v>07-1</x:v>
      </x:c>
      <x:c r="J156" s="16" t="str">
        <x:v>훈련장 냉백</x:v>
      </x:c>
      <x:c r="K156" s="16" t="str">
        <x:v>두 사람이 허수아비 앞에 선다</x:v>
      </x:c>
      <x:c r="L156" s="16" t="str"/>
      <x:c r="M156" s="16" t="str"/>
      <x:c r="N156" s="16" t="str">
        <x:v>470px · 여백 중</x:v>
      </x:c>
      <x:c r="O156" s="16" t="str">
        <x:v>Two figures standing in front of a straw dummy in a vast hall.</x:v>
      </x:c>
      <x:c r="P156" s="16" t="n">
        <x:v>2019</x:v>
      </x:c>
      <x:c r="Q156" s="16" t="str">
        <x:v>SOURCE</x:v>
      </x:c>
    </x:row>
    <x:row r="157" ht="66" customHeight="1">
      <x:c r="A157" s="16" t="str">
        <x:v>B159-159</x:v>
      </x:c>
      <x:c r="B157" s="16" t="str">
        <x:v>159</x:v>
      </x:c>
      <x:c r="C157" s="16" t="str">
        <x:v>159</x:v>
      </x:c>
      <x:c r="D157" s="16" t="n">
        <x:v>1</x:v>
      </x:c>
      <x:c r="E157" s="16" t="str">
        <x:v>EP01-S09</x:v>
      </x:c>
      <x:c r="F157" s="16" t="str">
        <x:v>8절 훈련장 진입</x:v>
      </x:c>
      <x:c r="G157" s="16" t="str">
        <x:v>CU 아인</x:v>
      </x:c>
      <x:c r="H157" s="16" t="str"/>
      <x:c r="I157" s="16" t="str">
        <x:v>07-1-3</x:v>
      </x:c>
      <x:c r="J157" s="16" t="str">
        <x:v>훈련장 근접판 냉백</x:v>
      </x:c>
      <x:c r="K157" s="16" t="str">
        <x:v>낫을 고쳐 쥔다</x:v>
      </x:c>
      <x:c r="L157" s="16" t="str"/>
      <x:c r="M157" s="16" t="str"/>
      <x:c r="N157" s="16" t="str">
        <x:v>400px · 여백 좁</x:v>
      </x:c>
      <x:c r="O157" s="16" t="str">
        <x:v>A young woman adjusting her grip on a scythe.</x:v>
      </x:c>
      <x:c r="P157" s="16" t="n">
        <x:v>2031</x:v>
      </x:c>
      <x:c r="Q157" s="16" t="str">
        <x:v>SOURCE</x:v>
      </x:c>
    </x:row>
    <x:row r="158" ht="66" customHeight="1">
      <x:c r="A158" s="16" t="str">
        <x:v>B160-160</x:v>
      </x:c>
      <x:c r="B158" s="16" t="str">
        <x:v>160</x:v>
      </x:c>
      <x:c r="C158" s="16" t="str">
        <x:v>160</x:v>
      </x:c>
      <x:c r="D158" s="16" t="n">
        <x:v>1</x:v>
      </x:c>
      <x:c r="E158" s="16" t="str">
        <x:v>EP01-S09</x:v>
      </x:c>
      <x:c r="F158" s="16" t="str">
        <x:v>8절 훈련장 진입</x:v>
      </x:c>
      <x:c r="G158" s="16" t="str">
        <x:v>인서트</x:v>
      </x:c>
      <x:c r="H158" s="16" t="str">
        <x:v>🤫</x:v>
      </x:c>
      <x:c r="I158" s="16" t="str">
        <x:v>07-1-1</x:v>
      </x:c>
      <x:c r="J158" s="16" t="str">
        <x:v>훈련장 바닥</x:v>
      </x:c>
      <x:c r="K158" s="16" t="str">
        <x:v>발이 반보 차이로 놓인다</x:v>
      </x:c>
      <x:c r="L158" s="16" t="str"/>
      <x:c r="M158" s="16" t="str"/>
      <x:c r="N158" s="16" t="str">
        <x:v>340px · 여백 좁</x:v>
      </x:c>
      <x:c r="O158" s="16" t="str">
        <x:v>Close on two pairs of boots. One is half a step behind the other.</x:v>
      </x:c>
      <x:c r="P158" s="16" t="n">
        <x:v>2043</x:v>
      </x:c>
      <x:c r="Q158" s="16" t="str">
        <x:v>SOURCE</x:v>
      </x:c>
    </x:row>
    <x:row r="159" ht="66" customHeight="1">
      <x:c r="A159" s="16" t="str">
        <x:v>B161-161</x:v>
      </x:c>
      <x:c r="B159" s="16" t="str">
        <x:v>161</x:v>
      </x:c>
      <x:c r="C159" s="16" t="str">
        <x:v>161</x:v>
      </x:c>
      <x:c r="D159" s="16" t="n">
        <x:v>1</x:v>
      </x:c>
      <x:c r="E159" s="16" t="str">
        <x:v>EP01-S09</x:v>
      </x:c>
      <x:c r="F159" s="16" t="str">
        <x:v>8절 훈련장 진입</x:v>
      </x:c>
      <x:c r="G159" s="16" t="str">
        <x:v>MS</x:v>
      </x:c>
      <x:c r="H159" s="16" t="str"/>
      <x:c r="I159" s="16" t="str">
        <x:v>07-1-3</x:v>
      </x:c>
      <x:c r="J159" s="16" t="str">
        <x:v>훈련장 근접판 냉백</x:v>
      </x:c>
      <x:c r="K159" s="16" t="str">
        <x:v>카인이 대검을 내린다</x:v>
      </x:c>
      <x:c r="L159" s="16" t="str"/>
      <x:c r="M159" s="16" t="str"/>
      <x:c r="N159" s="16" t="str">
        <x:v>430px · 여백 좁</x:v>
      </x:c>
      <x:c r="O159" s="16" t="str">
        <x:v>A large man lowering a greatsword.</x:v>
      </x:c>
      <x:c r="P159" s="16" t="n">
        <x:v>2055</x:v>
      </x:c>
      <x:c r="Q159" s="16" t="str">
        <x:v>SOURCE</x:v>
      </x:c>
    </x:row>
    <x:row r="160" ht="66" customHeight="1">
      <x:c r="A160" s="16" t="str">
        <x:v>B162-162</x:v>
      </x:c>
      <x:c r="B160" s="16" t="str">
        <x:v>162</x:v>
      </x:c>
      <x:c r="C160" s="16" t="str">
        <x:v>162</x:v>
      </x:c>
      <x:c r="D160" s="16" t="n">
        <x:v>1</x:v>
      </x:c>
      <x:c r="E160" s="16" t="str">
        <x:v>EP01-S09</x:v>
      </x:c>
      <x:c r="F160" s="16" t="str">
        <x:v>8절 훈련장 진입</x:v>
      </x:c>
      <x:c r="G160" s="16" t="str">
        <x:v>WIDE</x:v>
      </x:c>
      <x:c r="H160" s="16" t="str">
        <x:v>🤫🎭</x:v>
      </x:c>
      <x:c r="I160" s="16" t="str">
        <x:v>07-1</x:v>
      </x:c>
      <x:c r="J160" s="16" t="str">
        <x:v>훈련장 냉백</x:v>
      </x:c>
      <x:c r="K160" s="16" t="str">
        <x:v>두 사람과 허수아비. 간격이 프레임 가운데에 비어 있다</x:v>
      </x:c>
      <x:c r="L160" s="16" t="str"/>
      <x:c r="M160" s="16" t="str"/>
      <x:c r="N160" s="16" t="str">
        <x:v>470px · 여백 넓</x:v>
      </x:c>
      <x:c r="O160" s="16" t="str">
        <x:v>Two figures and a dummy. The gap between them occupies the center of the frame.</x:v>
      </x:c>
      <x:c r="P160" s="16" t="n">
        <x:v>2067</x:v>
      </x:c>
      <x:c r="Q160" s="16" t="str">
        <x:v>SOURCE</x:v>
      </x:c>
    </x:row>
    <x:row r="161" ht="66" customHeight="1">
      <x:c r="A161" s="16" t="str">
        <x:v>B163-163</x:v>
      </x:c>
      <x:c r="B161" s="16" t="str">
        <x:v>163</x:v>
      </x:c>
      <x:c r="C161" s="16" t="str">
        <x:v>163</x:v>
      </x:c>
      <x:c r="D161" s="16" t="n">
        <x:v>1</x:v>
      </x:c>
      <x:c r="E161" s="16" t="str">
        <x:v>EP01-S09</x:v>
      </x:c>
      <x:c r="F161" s="16" t="str">
        <x:v>8절 훈련장 진입</x:v>
      </x:c>
      <x:c r="G161" s="16" t="str">
        <x:v>CU 관측창</x:v>
      </x:c>
      <x:c r="H161" s="16" t="str"/>
      <x:c r="I161" s="16" t="str">
        <x:v>07-1-3</x:v>
      </x:c>
      <x:c r="J161" s="16" t="str">
        <x:v>훈련장 근접판 냉백</x:v>
      </x:c>
      <x:c r="K161" s="16" t="str">
        <x:v>마태오. 담배를 옮겨 문다</x:v>
      </x:c>
      <x:c r="L161" s="16" t="str"/>
      <x:c r="M161" s="16" t="str"/>
      <x:c r="N161" s="16" t="str">
        <x:v>400px · 여백 중</x:v>
      </x:c>
      <x:c r="O161" s="16" t="str">
        <x:v>An older man behind thick observation glass, shifting his cigarette.</x:v>
      </x:c>
      <x:c r="P161" s="16" t="n">
        <x:v>2079</x:v>
      </x:c>
      <x:c r="Q161" s="16" t="str">
        <x:v>SOURCE</x:v>
      </x:c>
    </x:row>
    <x:row r="162" ht="66" customHeight="1">
      <x:c r="A162" s="16" t="str">
        <x:v>B164-164</x:v>
      </x:c>
      <x:c r="B162" s="16" t="str">
        <x:v>164</x:v>
      </x:c>
      <x:c r="C162" s="16" t="str">
        <x:v>164</x:v>
      </x:c>
      <x:c r="D162" s="16" t="n">
        <x:v>1</x:v>
      </x:c>
      <x:c r="E162" s="16" t="str">
        <x:v>EP01-S09</x:v>
      </x:c>
      <x:c r="F162" s="16" t="str">
        <x:v>8절 훈련장 진입</x:v>
      </x:c>
      <x:c r="G162" s="16" t="str">
        <x:v>CU 아인</x:v>
      </x:c>
      <x:c r="H162" s="16" t="str"/>
      <x:c r="I162" s="16" t="str">
        <x:v>07-1-3</x:v>
      </x:c>
      <x:c r="J162" s="16" t="str">
        <x:v>훈련장 근접판 냉백</x:v>
      </x:c>
      <x:c r="K162" s="16" t="str">
        <x:v>눈이 좁아진다</x:v>
      </x:c>
      <x:c r="L162" s="16" t="str"/>
      <x:c r="M162" s="16" t="str"/>
      <x:c r="N162" s="16" t="str">
        <x:v>400px · 여백 좁</x:v>
      </x:c>
      <x:c r="O162" s="16" t="str">
        <x:v>A young woman's eyes narrowing.</x:v>
      </x:c>
      <x:c r="P162" s="16" t="n">
        <x:v>2091</x:v>
      </x:c>
      <x:c r="Q162" s="16" t="str">
        <x:v>SOURCE</x:v>
      </x:c>
    </x:row>
    <x:row r="163" ht="66" customHeight="1">
      <x:c r="A163" s="16" t="str">
        <x:v>B165-165</x:v>
      </x:c>
      <x:c r="B163" s="16" t="str">
        <x:v>165</x:v>
      </x:c>
      <x:c r="C163" s="16" t="str">
        <x:v>165</x:v>
      </x:c>
      <x:c r="D163" s="16" t="n">
        <x:v>1</x:v>
      </x:c>
      <x:c r="E163" s="16" t="str">
        <x:v>EP01-S09</x:v>
      </x:c>
      <x:c r="F163" s="16" t="str">
        <x:v>8절 훈련장 진입</x:v>
      </x:c>
      <x:c r="G163" s="16" t="str">
        <x:v>WIDE</x:v>
      </x:c>
      <x:c r="H163" s="16" t="str">
        <x:v>⭐</x:v>
      </x:c>
      <x:c r="I163" s="16" t="str">
        <x:v>07-1</x:v>
      </x:c>
      <x:c r="J163" s="16" t="str">
        <x:v>훈련장 냉백</x:v>
      </x:c>
      <x:c r="K163" s="16" t="str">
        <x:v>카인이 대검을 들어올린다</x:v>
      </x:c>
      <x:c r="L163" s="16" t="str"/>
      <x:c r="M163" s="16" t="str">
        <x:v>우웅—</x:v>
      </x:c>
      <x:c r="N163" s="16" t="str">
        <x:v>560px · 여백 극</x:v>
      </x:c>
      <x:c r="O163" s="16" t="str">
        <x:v>A large man raising a greatsword overhead in a vast empty hall.</x:v>
      </x:c>
      <x:c r="P163" s="16" t="n">
        <x:v>2103</x:v>
      </x:c>
      <x:c r="Q163" s="16" t="str">
        <x:v>SOURCE</x:v>
      </x:c>
    </x:row>
    <x:row r="164" ht="66" customHeight="1">
      <x:c r="A164" s="16" t="str">
        <x:v>B166-166</x:v>
      </x:c>
      <x:c r="B164" s="16" t="str">
        <x:v>166</x:v>
      </x:c>
      <x:c r="C164" s="16" t="str">
        <x:v>166</x:v>
      </x:c>
      <x:c r="D164" s="16" t="n">
        <x:v>1</x:v>
      </x:c>
      <x:c r="E164" s="16" t="str">
        <x:v>EP01-S10</x:v>
      </x:c>
      <x:c r="F164" s="16" t="str">
        <x:v>9절 원 전반</x:v>
      </x:c>
      <x:c r="G164" s="16" t="str">
        <x:v>MS</x:v>
      </x:c>
      <x:c r="H164" s="16" t="str"/>
      <x:c r="I164" s="16" t="str">
        <x:v>07-1-3</x:v>
      </x:c>
      <x:c r="J164" s="16" t="str">
        <x:v>훈련장 근접판 냉백</x:v>
      </x:c>
      <x:c r="K164" s="16" t="str">
        <x:v>카인의 대검이 내려온다</x:v>
      </x:c>
      <x:c r="L164" s="16" t="str"/>
      <x:c r="M164" s="16" t="str">
        <x:v>부웅—</x:v>
      </x:c>
      <x:c r="N164" s="16" t="str">
        <x:v>430px · 여백 좁</x:v>
      </x:c>
      <x:c r="O164" s="16" t="str">
        <x:v>A greatsword swinging down.</x:v>
      </x:c>
      <x:c r="P164" s="16" t="n">
        <x:v>2122</x:v>
      </x:c>
      <x:c r="Q164" s="16" t="str">
        <x:v>SOURCE</x:v>
      </x:c>
    </x:row>
    <x:row r="165" ht="66" customHeight="1">
      <x:c r="A165" s="16" t="str">
        <x:v>B167-167</x:v>
      </x:c>
      <x:c r="B165" s="16" t="str">
        <x:v>167</x:v>
      </x:c>
      <x:c r="C165" s="16" t="str">
        <x:v>167</x:v>
      </x:c>
      <x:c r="D165" s="16" t="n">
        <x:v>1</x:v>
      </x:c>
      <x:c r="E165" s="16" t="str">
        <x:v>EP01-S10</x:v>
      </x:c>
      <x:c r="F165" s="16" t="str">
        <x:v>9절 원 전반</x:v>
      </x:c>
      <x:c r="G165" s="16" t="str">
        <x:v>극세로 블리드</x:v>
      </x:c>
      <x:c r="H165" s="16" t="str"/>
      <x:c r="I165" s="16" t="str">
        <x:v>07-1</x:v>
      </x:c>
      <x:c r="J165" s="16" t="str">
        <x:v>훈련장 냉백</x:v>
      </x:c>
      <x:c r="K165" s="16" t="str">
        <x:v>콰앙! 허수아비 몸통에 정통</x:v>
      </x:c>
      <x:c r="L165" s="16" t="str"/>
      <x:c r="M165" s="16" t="str">
        <x:v>콰앙!!</x:v>
      </x:c>
      <x:c r="N165" s="16" t="str">
        <x:v>1,500px · 여백 좁</x:v>
      </x:c>
      <x:c r="O165" s="16" t="str">
        <x:v>A massive impact on a straw dummy's torso. Straw exploding outward.</x:v>
      </x:c>
      <x:c r="P165" s="16" t="n">
        <x:v>2135</x:v>
      </x:c>
      <x:c r="Q165" s="16" t="str">
        <x:v>SOURCE</x:v>
      </x:c>
    </x:row>
    <x:row r="166" ht="66" customHeight="1">
      <x:c r="A166" s="16" t="str">
        <x:v>B168-168</x:v>
      </x:c>
      <x:c r="B166" s="16" t="str">
        <x:v>168</x:v>
      </x:c>
      <x:c r="C166" s="16" t="str">
        <x:v>168</x:v>
      </x:c>
      <x:c r="D166" s="16" t="n">
        <x:v>1</x:v>
      </x:c>
      <x:c r="E166" s="16" t="str">
        <x:v>EP01-S10</x:v>
      </x:c>
      <x:c r="F166" s="16" t="str">
        <x:v>9절 원 전반</x:v>
      </x:c>
      <x:c r="G166" s="16" t="str">
        <x:v>WIDE</x:v>
      </x:c>
      <x:c r="H166" s="16" t="str"/>
      <x:c r="I166" s="16" t="str">
        <x:v>07-1</x:v>
      </x:c>
      <x:c r="J166" s="16" t="str">
        <x:v>훈련장 냉백</x:v>
      </x:c>
      <x:c r="K166" s="16" t="str">
        <x:v>짚이 사방으로 흩어진다</x:v>
      </x:c>
      <x:c r="L166" s="16" t="str"/>
      <x:c r="M166" s="16" t="str"/>
      <x:c r="N166" s="16" t="str">
        <x:v>470px · 여백 좁</x:v>
      </x:c>
      <x:c r="O166" s="16" t="str">
        <x:v>Straw scattering across a concrete floor.</x:v>
      </x:c>
      <x:c r="P166" s="16" t="n">
        <x:v>2148</x:v>
      </x:c>
      <x:c r="Q166" s="16" t="str">
        <x:v>SOURCE</x:v>
      </x:c>
    </x:row>
    <x:row r="167" ht="66" customHeight="1">
      <x:c r="A167" s="16" t="str">
        <x:v>B169-169</x:v>
      </x:c>
      <x:c r="B167" s="16" t="str">
        <x:v>169</x:v>
      </x:c>
      <x:c r="C167" s="16" t="str">
        <x:v>169</x:v>
      </x:c>
      <x:c r="D167" s="16" t="n">
        <x:v>1</x:v>
      </x:c>
      <x:c r="E167" s="16" t="str">
        <x:v>EP01-S10</x:v>
      </x:c>
      <x:c r="F167" s="16" t="str">
        <x:v>9절 원 전반</x:v>
      </x:c>
      <x:c r="G167" s="16" t="str">
        <x:v>CU 카인</x:v>
      </x:c>
      <x:c r="H167" s="16" t="str"/>
      <x:c r="I167" s="16" t="str">
        <x:v>07-1-3</x:v>
      </x:c>
      <x:c r="J167" s="16" t="str">
        <x:v>훈련장 근접판 냉백</x:v>
      </x:c>
      <x:c r="K167" s="16" t="str">
        <x:v>씩 웃는다</x:v>
      </x:c>
      <x:c r="L167" s="16" t="str">
        <x:v>대사 · 카인: 「뭐야, 이거 별거—」</x:v>
      </x:c>
      <x:c r="M167" s="16" t="str"/>
      <x:c r="N167" s="16" t="str">
        <x:v>400px · 여백 중</x:v>
      </x:c>
      <x:c r="O167" s="16" t="str">
        <x:v>A large man grinning.</x:v>
      </x:c>
      <x:c r="P167" s="16" t="n">
        <x:v>2160</x:v>
      </x:c>
      <x:c r="Q167" s="16" t="str">
        <x:v>SOURCE</x:v>
      </x:c>
    </x:row>
    <x:row r="168" ht="66" customHeight="1">
      <x:c r="A168" s="16" t="str">
        <x:v>B170-170</x:v>
      </x:c>
      <x:c r="B168" s="16" t="str">
        <x:v>170</x:v>
      </x:c>
      <x:c r="C168" s="16" t="str">
        <x:v>170</x:v>
      </x:c>
      <x:c r="D168" s="16" t="n">
        <x:v>1</x:v>
      </x:c>
      <x:c r="E168" s="16" t="str">
        <x:v>EP01-S10</x:v>
      </x:c>
      <x:c r="F168" s="16" t="str">
        <x:v>9절 원 전반</x:v>
      </x:c>
      <x:c r="G168" s="16" t="str">
        <x:v>인서트</x:v>
      </x:c>
      <x:c r="H168" s="16" t="str"/>
      <x:c r="I168" s="16" t="str">
        <x:v>07-1-3</x:v>
      </x:c>
      <x:c r="J168" s="16" t="str">
        <x:v>훈련장 근접판 냉백</x:v>
      </x:c>
      <x:c r="K168" s="16" t="str">
        <x:v>흩어진 짚 사이. 철사슬이 팽팽해진다</x:v>
      </x:c>
      <x:c r="L168" s="16" t="str"/>
      <x:c r="M168" s="16" t="str"/>
      <x:c r="N168" s="16" t="str">
        <x:v>380px · 여백 좁</x:v>
      </x:c>
      <x:c r="O168" s="16" t="str">
        <x:v>Between scattered straw, a chain pulling taut.</x:v>
      </x:c>
      <x:c r="P168" s="16" t="n">
        <x:v>2173</x:v>
      </x:c>
      <x:c r="Q168" s="16" t="str">
        <x:v>SOURCE</x:v>
      </x:c>
    </x:row>
    <x:row r="169" ht="66" customHeight="1">
      <x:c r="A169" s="16" t="str">
        <x:v>B171-171</x:v>
      </x:c>
      <x:c r="B169" s="16" t="str">
        <x:v>171</x:v>
      </x:c>
      <x:c r="C169" s="16" t="str">
        <x:v>171</x:v>
      </x:c>
      <x:c r="D169" s="16" t="n">
        <x:v>1</x:v>
      </x:c>
      <x:c r="E169" s="16" t="str">
        <x:v>EP01-S10</x:v>
      </x:c>
      <x:c r="F169" s="16" t="str">
        <x:v>9절 원 전반</x:v>
      </x:c>
      <x:c r="G169" s="16" t="str">
        <x:v>ECU</x:v>
      </x:c>
      <x:c r="H169" s="16" t="str"/>
      <x:c r="I169" s="16" t="str">
        <x:v>07-1-3</x:v>
      </x:c>
      <x:c r="J169" s="16" t="str">
        <x:v>훈련장 근접판 냉백</x:v>
      </x:c>
      <x:c r="K169" s="16" t="str">
        <x:v>사슬 고리 하나가 뒤틀린다</x:v>
      </x:c>
      <x:c r="L169" s="16" t="str"/>
      <x:c r="M169" s="16" t="str">
        <x:v>끼긱</x:v>
      </x:c>
      <x:c r="N169" s="16" t="str">
        <x:v>360px · 여백 좁</x:v>
      </x:c>
      <x:c r="O169" s="16" t="str">
        <x:v>Extreme close on a chain link twisting.</x:v>
      </x:c>
      <x:c r="P169" s="16" t="n">
        <x:v>2185</x:v>
      </x:c>
      <x:c r="Q169" s="16" t="str">
        <x:v>SOURCE</x:v>
      </x:c>
    </x:row>
    <x:row r="170" ht="66" customHeight="1">
      <x:c r="A170" s="16" t="str">
        <x:v>B172-172</x:v>
      </x:c>
      <x:c r="B170" s="16" t="str">
        <x:v>172</x:v>
      </x:c>
      <x:c r="C170" s="16" t="str">
        <x:v>172</x:v>
      </x:c>
      <x:c r="D170" s="16" t="n">
        <x:v>1</x:v>
      </x:c>
      <x:c r="E170" s="16" t="str">
        <x:v>EP01-S10</x:v>
      </x:c>
      <x:c r="F170" s="16" t="str">
        <x:v>9절 원 전반</x:v>
      </x:c>
      <x:c r="G170" s="16" t="str">
        <x:v>인서트</x:v>
      </x:c>
      <x:c r="H170" s="16" t="str">
        <x:v>🎣</x:v>
      </x:c>
      <x:c r="I170" s="16" t="str">
        <x:v>07-1-1</x:v>
      </x:c>
      <x:c r="J170" s="16" t="str">
        <x:v>훈련장 바닥</x:v>
      </x:c>
      <x:c r="K170" s="16" t="str">
        <x:v>바닥 문양에 선이 하나 들어온다</x:v>
      </x:c>
      <x:c r="L170" s="16" t="str"/>
      <x:c r="M170" s="16" t="str"/>
      <x:c r="N170" s="16" t="str">
        <x:v>380px · 여백 좁</x:v>
      </x:c>
      <x:c r="O170" s="16" t="str">
        <x:v>A line of light entering the floor sigil.</x:v>
      </x:c>
      <x:c r="P170" s="16" t="n">
        <x:v>2198</x:v>
      </x:c>
      <x:c r="Q170" s="16" t="str">
        <x:v>SOURCE</x:v>
      </x:c>
    </x:row>
    <x:row r="171" ht="66" customHeight="1">
      <x:c r="A171" s="16" t="str">
        <x:v>B173-173</x:v>
      </x:c>
      <x:c r="B171" s="16" t="str">
        <x:v>173</x:v>
      </x:c>
      <x:c r="C171" s="16" t="str">
        <x:v>173</x:v>
      </x:c>
      <x:c r="D171" s="16" t="n">
        <x:v>1</x:v>
      </x:c>
      <x:c r="E171" s="16" t="str">
        <x:v>EP01-S10</x:v>
      </x:c>
      <x:c r="F171" s="16" t="str">
        <x:v>9절 원 전반</x:v>
      </x:c>
      <x:c r="G171" s="16" t="str">
        <x:v>CU 아인</x:v>
      </x:c>
      <x:c r="H171" s="16" t="str"/>
      <x:c r="I171" s="16" t="str">
        <x:v>07-1-3</x:v>
      </x:c>
      <x:c r="J171" s="16" t="str">
        <x:v>훈련장 근접판 냉백</x:v>
      </x:c>
      <x:c r="K171" s="16" t="str">
        <x:v>고개를 든다</x:v>
      </x:c>
      <x:c r="L171" s="16" t="str"/>
      <x:c r="M171" s="16" t="str"/>
      <x:c r="N171" s="16" t="str">
        <x:v>400px · 여백 좁</x:v>
      </x:c>
      <x:c r="O171" s="16" t="str">
        <x:v>A young woman raising her head.</x:v>
      </x:c>
      <x:c r="P171" s="16" t="n">
        <x:v>2210</x:v>
      </x:c>
      <x:c r="Q171" s="16" t="str">
        <x:v>SOURCE</x:v>
      </x:c>
    </x:row>
    <x:row r="172" ht="66" customHeight="1">
      <x:c r="A172" s="16" t="str">
        <x:v>B174-174</x:v>
      </x:c>
      <x:c r="B172" s="16" t="str">
        <x:v>174</x:v>
      </x:c>
      <x:c r="C172" s="16" t="str">
        <x:v>174</x:v>
      </x:c>
      <x:c r="D172" s="16" t="n">
        <x:v>1</x:v>
      </x:c>
      <x:c r="E172" s="16" t="str">
        <x:v>EP01-S10</x:v>
      </x:c>
      <x:c r="F172" s="16" t="str">
        <x:v>9절 원 전반</x:v>
      </x:c>
      <x:c r="G172" s="16" t="str">
        <x:v>인서트</x:v>
      </x:c>
      <x:c r="H172" s="16" t="str"/>
      <x:c r="I172" s="16" t="str">
        <x:v>07-1-1</x:v>
      </x:c>
      <x:c r="J172" s="16" t="str">
        <x:v>훈련장 바닥</x:v>
      </x:c>
      <x:c r="K172" s="16" t="str">
        <x:v>문양의 선이 퍼진다</x:v>
      </x:c>
      <x:c r="L172" s="16" t="str"/>
      <x:c r="M172" s="16" t="str">
        <x:v>지— 직</x:v>
      </x:c>
      <x:c r="N172" s="16" t="str">
        <x:v>380px · 여백 좁</x:v>
      </x:c>
      <x:c r="O172" s="16" t="str">
        <x:v>The sigil lines spreading across the floor.</x:v>
      </x:c>
      <x:c r="P172" s="16" t="n">
        <x:v>2222</x:v>
      </x:c>
      <x:c r="Q172" s="16" t="str">
        <x:v>SOURCE</x:v>
      </x:c>
    </x:row>
    <x:row r="173" ht="66" customHeight="1">
      <x:c r="A173" s="16" t="str">
        <x:v>B175-175</x:v>
      </x:c>
      <x:c r="B173" s="16" t="str">
        <x:v>175</x:v>
      </x:c>
      <x:c r="C173" s="16" t="str">
        <x:v>175</x:v>
      </x:c>
      <x:c r="D173" s="16" t="n">
        <x:v>1</x:v>
      </x:c>
      <x:c r="E173" s="16" t="str">
        <x:v>EP01-S10</x:v>
      </x:c>
      <x:c r="F173" s="16" t="str">
        <x:v>9절 원 전반</x:v>
      </x:c>
      <x:c r="G173" s="16" t="str">
        <x:v>ECU</x:v>
      </x:c>
      <x:c r="H173" s="16" t="str"/>
      <x:c r="I173" s="16" t="str">
        <x:v>07-1-3</x:v>
      </x:c>
      <x:c r="J173" s="16" t="str">
        <x:v>훈련장 근접판 냉백</x:v>
      </x:c>
      <x:c r="K173" s="16" t="str">
        <x:v>허수아비 몸통 안쪽. 룬이 발광하기 시작한다</x:v>
      </x:c>
      <x:c r="L173" s="16" t="str"/>
      <x:c r="M173" s="16" t="str"/>
      <x:c r="N173" s="16" t="str">
        <x:v>400px · 여백 중</x:v>
      </x:c>
      <x:c r="O173" s="16" t="str">
        <x:v>Deep inside the dummy's torso, runes beginning to glow amber.</x:v>
      </x:c>
      <x:c r="P173" s="16" t="n">
        <x:v>2235</x:v>
      </x:c>
      <x:c r="Q173" s="16" t="str">
        <x:v>SOURCE</x:v>
      </x:c>
    </x:row>
    <x:row r="174" ht="66" customHeight="1">
      <x:c r="A174" s="16" t="str">
        <x:v>B176-176</x:v>
      </x:c>
      <x:c r="B174" s="16" t="str">
        <x:v>176</x:v>
      </x:c>
      <x:c r="C174" s="16" t="str">
        <x:v>176</x:v>
      </x:c>
      <x:c r="D174" s="16" t="n">
        <x:v>1</x:v>
      </x:c>
      <x:c r="E174" s="16" t="str">
        <x:v>EP01-S10</x:v>
      </x:c>
      <x:c r="F174" s="16" t="str">
        <x:v>9절 원 전반</x:v>
      </x:c>
      <x:c r="G174" s="16" t="str">
        <x:v>CU 아인</x:v>
      </x:c>
      <x:c r="H174" s="16" t="str"/>
      <x:c r="I174" s="16" t="str">
        <x:v>07-1-3</x:v>
      </x:c>
      <x:c r="J174" s="16" t="str">
        <x:v>훈련장 근접판 냉백</x:v>
      </x:c>
      <x:c r="K174" s="16" t="str">
        <x:v>눈이 커진다</x:v>
      </x:c>
      <x:c r="L174" s="16" t="str">
        <x:v>대사 · 아인: 「카인, 물러나!」</x:v>
      </x:c>
      <x:c r="M174" s="16" t="str"/>
      <x:c r="N174" s="16" t="str">
        <x:v>400px · 여백 좁</x:v>
      </x:c>
      <x:c r="O174" s="16" t="str">
        <x:v>A young woman's eyes widening.</x:v>
      </x:c>
      <x:c r="P174" s="16" t="n">
        <x:v>2247</x:v>
      </x:c>
      <x:c r="Q174" s="16" t="str">
        <x:v>SOURCE</x:v>
      </x:c>
    </x:row>
    <x:row r="175" ht="66" customHeight="1">
      <x:c r="A175" s="16" t="str">
        <x:v>B177-177</x:v>
      </x:c>
      <x:c r="B175" s="16" t="str">
        <x:v>177</x:v>
      </x:c>
      <x:c r="C175" s="16" t="str">
        <x:v>177</x:v>
      </x:c>
      <x:c r="D175" s="16" t="n">
        <x:v>1</x:v>
      </x:c>
      <x:c r="E175" s="16" t="str">
        <x:v>EP01-S10</x:v>
      </x:c>
      <x:c r="F175" s="16" t="str">
        <x:v>9절 원 전반</x:v>
      </x:c>
      <x:c r="G175" s="16" t="str">
        <x:v>MS</x:v>
      </x:c>
      <x:c r="H175" s="16" t="str"/>
      <x:c r="I175" s="16" t="str">
        <x:v>07-1-3</x:v>
      </x:c>
      <x:c r="J175" s="16" t="str">
        <x:v>훈련장 근접판 냉백</x:v>
      </x:c>
      <x:c r="K175" s="16" t="str">
        <x:v>카인이 뒤로 뛴다</x:v>
      </x:c>
      <x:c r="L175" s="16" t="str"/>
      <x:c r="M175" s="16" t="str"/>
      <x:c r="N175" s="16" t="str">
        <x:v>430px · 여백 좁</x:v>
      </x:c>
      <x:c r="O175" s="16" t="str">
        <x:v>A large man leaping backward.</x:v>
      </x:c>
      <x:c r="P175" s="16" t="n">
        <x:v>2260</x:v>
      </x:c>
      <x:c r="Q175" s="16" t="str">
        <x:v>SOURCE</x:v>
      </x:c>
    </x:row>
    <x:row r="176" ht="66" customHeight="1">
      <x:c r="A176" s="16" t="str">
        <x:v>B178-178</x:v>
      </x:c>
      <x:c r="B176" s="16" t="str">
        <x:v>178</x:v>
      </x:c>
      <x:c r="C176" s="16" t="str">
        <x:v>178</x:v>
      </x:c>
      <x:c r="D176" s="16" t="n">
        <x:v>1</x:v>
      </x:c>
      <x:c r="E176" s="16" t="str">
        <x:v>EP01-S10</x:v>
      </x:c>
      <x:c r="F176" s="16" t="str">
        <x:v>9절 원 전반</x:v>
      </x:c>
      <x:c r="G176" s="16" t="str">
        <x:v>극세로 블리드</x:v>
      </x:c>
      <x:c r="H176" s="16" t="str"/>
      <x:c r="I176" s="16" t="str">
        <x:v>07-1</x:v>
      </x:c>
      <x:c r="J176" s="16" t="str">
        <x:v>훈련장 냉백</x:v>
      </x:c>
      <x:c r="K176" s="16" t="str">
        <x:v>대폭발. 짚이 통째로 날아간다</x:v>
      </x:c>
      <x:c r="L176" s="16" t="str"/>
      <x:c r="M176" s="16" t="str">
        <x:v>콰아앙—!!</x:v>
      </x:c>
      <x:c r="N176" s="16" t="str">
        <x:v>1,500px · 여백 좁</x:v>
      </x:c>
      <x:c r="O176" s="16" t="str">
        <x:v>A huge explosion. Straw blasted away entirely.</x:v>
      </x:c>
      <x:c r="P176" s="16" t="n">
        <x:v>2272</x:v>
      </x:c>
      <x:c r="Q176" s="16" t="str">
        <x:v>SOURCE</x:v>
      </x:c>
    </x:row>
    <x:row r="177" ht="66" customHeight="1">
      <x:c r="A177" s="16" t="str">
        <x:v>B179-179</x:v>
      </x:c>
      <x:c r="B177" s="16" t="str">
        <x:v>179</x:v>
      </x:c>
      <x:c r="C177" s="16" t="str">
        <x:v>179</x:v>
      </x:c>
      <x:c r="D177" s="16" t="n">
        <x:v>1</x:v>
      </x:c>
      <x:c r="E177" s="16" t="str">
        <x:v>EP01-S10</x:v>
      </x:c>
      <x:c r="F177" s="16" t="str">
        <x:v>9절 원 전반</x:v>
      </x:c>
      <x:c r="G177" s="16" t="str">
        <x:v>WIDE</x:v>
      </x:c>
      <x:c r="H177" s="16" t="str"/>
      <x:c r="I177" s="16" t="str">
        <x:v>07-1</x:v>
      </x:c>
      <x:c r="J177" s="16" t="str">
        <x:v>훈련장 냉백</x:v>
      </x:c>
      <x:c r="K177" s="16" t="str">
        <x:v>폭풍에 두 사람이 밀린다</x:v>
      </x:c>
      <x:c r="L177" s="16" t="str"/>
      <x:c r="M177" s="16" t="str"/>
      <x:c r="N177" s="16" t="str">
        <x:v>470px · 여백 중</x:v>
      </x:c>
      <x:c r="O177" s="16" t="str">
        <x:v>Two figures pushed back by a blast.</x:v>
      </x:c>
      <x:c r="P177" s="16" t="n">
        <x:v>2285</x:v>
      </x:c>
      <x:c r="Q177" s="16" t="str">
        <x:v>SOURCE</x:v>
      </x:c>
    </x:row>
    <x:row r="178" ht="66" customHeight="1">
      <x:c r="A178" s="16" t="str">
        <x:v>B180-180</x:v>
      </x:c>
      <x:c r="B178" s="16" t="str">
        <x:v>180</x:v>
      </x:c>
      <x:c r="C178" s="16" t="str">
        <x:v>180</x:v>
      </x:c>
      <x:c r="D178" s="16" t="n">
        <x:v>1</x:v>
      </x:c>
      <x:c r="E178" s="16" t="str">
        <x:v>EP01-S10</x:v>
      </x:c>
      <x:c r="F178" s="16" t="str">
        <x:v>9절 원 전반</x:v>
      </x:c>
      <x:c r="G178" s="16" t="str">
        <x:v>ECU</x:v>
      </x:c>
      <x:c r="H178" s="16" t="str"/>
      <x:c r="I178" s="16" t="str">
        <x:v>07-1-1</x:v>
      </x:c>
      <x:c r="J178" s="16" t="str">
        <x:v>훈련장 바닥</x:v>
      </x:c>
      <x:c r="K178" s="16" t="str">
        <x:v>철사슬이 끊어진다</x:v>
      </x:c>
      <x:c r="L178" s="16" t="str"/>
      <x:c r="M178" s="16" t="str">
        <x:v>파캉!</x:v>
      </x:c>
      <x:c r="N178" s="16" t="str">
        <x:v>380px · 여백 좁</x:v>
      </x:c>
      <x:c r="O178" s="16" t="str">
        <x:v>A chain snapping.</x:v>
      </x:c>
      <x:c r="P178" s="16" t="n">
        <x:v>2297</x:v>
      </x:c>
      <x:c r="Q178" s="16" t="str">
        <x:v>SOURCE</x:v>
      </x:c>
    </x:row>
    <x:row r="179" ht="66" customHeight="1">
      <x:c r="A179" s="16" t="str">
        <x:v>B181-181</x:v>
      </x:c>
      <x:c r="B179" s="16" t="str">
        <x:v>181</x:v>
      </x:c>
      <x:c r="C179" s="16" t="str">
        <x:v>181</x:v>
      </x:c>
      <x:c r="D179" s="16" t="n">
        <x:v>1</x:v>
      </x:c>
      <x:c r="E179" s="16" t="str">
        <x:v>EP01-S10</x:v>
      </x:c>
      <x:c r="F179" s="16" t="str">
        <x:v>9절 원 전반</x:v>
      </x:c>
      <x:c r="G179" s="16" t="str">
        <x:v>인서트</x:v>
      </x:c>
      <x:c r="H179" s="16" t="str"/>
      <x:c r="I179" s="16" t="str">
        <x:v>07-1-1</x:v>
      </x:c>
      <x:c r="J179" s="16" t="str">
        <x:v>훈련장 바닥</x:v>
      </x:c>
      <x:c r="K179" s="16" t="str">
        <x:v>사슬 조각이 바닥에 떨어진다</x:v>
      </x:c>
      <x:c r="L179" s="16" t="str"/>
      <x:c r="M179" s="16" t="str">
        <x:v>챙그랑</x:v>
      </x:c>
      <x:c r="N179" s="16" t="str">
        <x:v>380px · 여백 중</x:v>
      </x:c>
      <x:c r="O179" s="16" t="str">
        <x:v>Chain fragments falling to a concrete floor.</x:v>
      </x:c>
      <x:c r="P179" s="16" t="n">
        <x:v>2310</x:v>
      </x:c>
      <x:c r="Q179" s="16" t="str">
        <x:v>SOURCE</x:v>
      </x:c>
    </x:row>
    <x:row r="180" ht="66" customHeight="1">
      <x:c r="A180" s="16" t="str">
        <x:v>B182-182</x:v>
      </x:c>
      <x:c r="B180" s="16" t="str">
        <x:v>182</x:v>
      </x:c>
      <x:c r="C180" s="16" t="str">
        <x:v>182</x:v>
      </x:c>
      <x:c r="D180" s="16" t="n">
        <x:v>1</x:v>
      </x:c>
      <x:c r="E180" s="16" t="str">
        <x:v>EP01-S10</x:v>
      </x:c>
      <x:c r="F180" s="16" t="str">
        <x:v>9절 원 전반</x:v>
      </x:c>
      <x:c r="G180" s="16" t="str">
        <x:v>WIDE</x:v>
      </x:c>
      <x:c r="H180" s="16" t="str"/>
      <x:c r="I180" s="16" t="str">
        <x:v>07-1-3</x:v>
      </x:c>
      <x:c r="J180" s="16" t="str">
        <x:v>훈련장 근접판 냉백</x:v>
      </x:c>
      <x:c r="K180" s="16" t="str">
        <x:v>연기. 실루엣이 서 있다</x:v>
      </x:c>
      <x:c r="L180" s="16" t="str"/>
      <x:c r="M180" s="16" t="str"/>
      <x:c r="N180" s="16" t="str">
        <x:v>470px · 여백 넓</x:v>
      </x:c>
      <x:c r="O180" s="16" t="str">
        <x:v>Smoke. A silhouette standing within it.</x:v>
      </x:c>
      <x:c r="P180" s="16" t="n">
        <x:v>2323</x:v>
      </x:c>
      <x:c r="Q180" s="16" t="str">
        <x:v>SOURCE</x:v>
      </x:c>
    </x:row>
    <x:row r="181" ht="66" customHeight="1">
      <x:c r="A181" s="16" t="str">
        <x:v>B183-183</x:v>
      </x:c>
      <x:c r="B181" s="16" t="str">
        <x:v>183</x:v>
      </x:c>
      <x:c r="C181" s="16" t="str">
        <x:v>183</x:v>
      </x:c>
      <x:c r="D181" s="16" t="n">
        <x:v>1</x:v>
      </x:c>
      <x:c r="E181" s="16" t="str">
        <x:v>EP01-S10</x:v>
      </x:c>
      <x:c r="F181" s="16" t="str">
        <x:v>9절 원 전반</x:v>
      </x:c>
      <x:c r="G181" s="16" t="str">
        <x:v>ECU</x:v>
      </x:c>
      <x:c r="H181" s="16" t="str"/>
      <x:c r="I181" s="16" t="str">
        <x:v>07-2-3</x:v>
      </x:c>
      <x:c r="J181" s="16" t="str">
        <x:v>훈련장 근접판 엠버</x:v>
      </x:c>
      <x:c r="K181" s="16" t="str">
        <x:v>연기 속. 붉은 안광 두 점</x:v>
      </x:c>
      <x:c r="L181" s="16" t="str"/>
      <x:c r="M181" s="16" t="str"/>
      <x:c r="N181" s="16" t="str">
        <x:v>400px · 여백 중</x:v>
      </x:c>
      <x:c r="O181" s="16" t="str">
        <x:v>Two red points of light in the smoke.</x:v>
      </x:c>
      <x:c r="P181" s="16" t="n">
        <x:v>2335</x:v>
      </x:c>
      <x:c r="Q181" s="16" t="str">
        <x:v>SOURCE</x:v>
      </x:c>
    </x:row>
    <x:row r="182" ht="66" customHeight="1">
      <x:c r="A182" s="16" t="str">
        <x:v>B184-184</x:v>
      </x:c>
      <x:c r="B182" s="16" t="str">
        <x:v>184</x:v>
      </x:c>
      <x:c r="C182" s="16" t="str">
        <x:v>184</x:v>
      </x:c>
      <x:c r="D182" s="16" t="n">
        <x:v>1</x:v>
      </x:c>
      <x:c r="E182" s="16" t="str">
        <x:v>EP01-S10</x:v>
      </x:c>
      <x:c r="F182" s="16" t="str">
        <x:v>9절 원 전반</x:v>
      </x:c>
      <x:c r="G182" s="16" t="str">
        <x:v>MS</x:v>
      </x:c>
      <x:c r="H182" s="16" t="str"/>
      <x:c r="I182" s="16" t="str">
        <x:v>07-2-3</x:v>
      </x:c>
      <x:c r="J182" s="16" t="str">
        <x:v>훈련장 근접판 엠버</x:v>
      </x:c>
      <x:c r="K182" s="16" t="str">
        <x:v>연기가 걷힌다</x:v>
      </x:c>
      <x:c r="L182" s="16" t="str"/>
      <x:c r="M182" s="16" t="str">
        <x:v>그드득</x:v>
      </x:c>
      <x:c r="N182" s="16" t="str">
        <x:v>430px · 여백 좁</x:v>
      </x:c>
      <x:c r="O182" s="16" t="str">
        <x:v>Smoke clearing.</x:v>
      </x:c>
      <x:c r="P182" s="16" t="n">
        <x:v>2347</x:v>
      </x:c>
      <x:c r="Q182" s="16" t="str">
        <x:v>SOURCE</x:v>
      </x:c>
    </x:row>
    <x:row r="183" ht="66" customHeight="1">
      <x:c r="A183" s="16" t="str">
        <x:v>B185-185</x:v>
      </x:c>
      <x:c r="B183" s="16" t="str">
        <x:v>185</x:v>
      </x:c>
      <x:c r="C183" s="16" t="str">
        <x:v>185</x:v>
      </x:c>
      <x:c r="D183" s="16" t="n">
        <x:v>1</x:v>
      </x:c>
      <x:c r="E183" s="16" t="str">
        <x:v>EP01-S10</x:v>
      </x:c>
      <x:c r="F183" s="16" t="str">
        <x:v>9절 원 전반</x:v>
      </x:c>
      <x:c r="G183" s="16" t="str">
        <x:v>CU</x:v>
      </x:c>
      <x:c r="H183" s="16" t="str"/>
      <x:c r="I183" s="16" t="str">
        <x:v>07-2-3</x:v>
      </x:c>
      <x:c r="J183" s="16" t="str">
        <x:v>훈련장 근접판 엠버</x:v>
      </x:c>
      <x:c r="K183" s="16" t="str">
        <x:v>짚 아래에서 드러나는 철사 골격</x:v>
      </x:c>
      <x:c r="L183" s="16" t="str"/>
      <x:c r="M183" s="16" t="str"/>
      <x:c r="N183" s="16" t="str">
        <x:v>400px · 여백 좁</x:v>
      </x:c>
      <x:c r="O183" s="16" t="str">
        <x:v>A wire skeleton revealed beneath the straw.</x:v>
      </x:c>
      <x:c r="P183" s="16" t="n">
        <x:v>2360</x:v>
      </x:c>
      <x:c r="Q183" s="16" t="str">
        <x:v>SOURCE</x:v>
      </x:c>
    </x:row>
    <x:row r="184" ht="66" customHeight="1">
      <x:c r="A184" s="16" t="str">
        <x:v>B186-186</x:v>
      </x:c>
      <x:c r="B184" s="16" t="str">
        <x:v>186</x:v>
      </x:c>
      <x:c r="C184" s="16" t="str">
        <x:v>186</x:v>
      </x:c>
      <x:c r="D184" s="16" t="n">
        <x:v>1</x:v>
      </x:c>
      <x:c r="E184" s="16" t="str">
        <x:v>EP01-S10</x:v>
      </x:c>
      <x:c r="F184" s="16" t="str">
        <x:v>9절 원 전반</x:v>
      </x:c>
      <x:c r="G184" s="16" t="str">
        <x:v>CU</x:v>
      </x:c>
      <x:c r="H184" s="16" t="str"/>
      <x:c r="I184" s="16" t="str">
        <x:v>07-2-3</x:v>
      </x:c>
      <x:c r="J184" s="16" t="str">
        <x:v>훈련장 근접판 엠버</x:v>
      </x:c>
      <x:c r="K184" s="16" t="str">
        <x:v>관절이 돌아간다</x:v>
      </x:c>
      <x:c r="L184" s="16" t="str"/>
      <x:c r="M184" s="16" t="str">
        <x:v>그드득</x:v>
      </x:c>
      <x:c r="N184" s="16" t="str">
        <x:v>400px · 여백 중</x:v>
      </x:c>
      <x:c r="O184" s="16" t="str">
        <x:v>A joint rotating with a grinding motion.</x:v>
      </x:c>
      <x:c r="P184" s="16" t="n">
        <x:v>2372</x:v>
      </x:c>
      <x:c r="Q184" s="16" t="str">
        <x:v>SOURCE</x:v>
      </x:c>
    </x:row>
    <x:row r="185" ht="66" customHeight="1">
      <x:c r="A185" s="16" t="str">
        <x:v>B187-187</x:v>
      </x:c>
      <x:c r="B185" s="16" t="str">
        <x:v>187</x:v>
      </x:c>
      <x:c r="C185" s="16" t="str">
        <x:v>187</x:v>
      </x:c>
      <x:c r="D185" s="16" t="n">
        <x:v>1</x:v>
      </x:c>
      <x:c r="E185" s="16" t="str">
        <x:v>EP01-S11</x:v>
      </x:c>
      <x:c r="F185" s="16" t="str">
        <x:v>9절 각성 · 10절</x:v>
      </x:c>
      <x:c r="G185" s="16" t="str">
        <x:v>LOW 대형 블리드</x:v>
      </x:c>
      <x:c r="H185" s="16" t="str">
        <x:v>⭐🔴</x:v>
      </x:c>
      <x:c r="I185" s="16" t="str">
        <x:v>07-2</x:v>
      </x:c>
      <x:c r="J185" s="16" t="str">
        <x:v>훈련장 엠버</x:v>
      </x:c>
      <x:c r="K185" s="16" t="str">
        <x:v>저주받은 전투 허수아비 전신 공개. 3미터. 광원이 놈으로 바뀐다 — 엠버가 아래에서 위로</x:v>
      </x:c>
      <x:c r="L185" s="16" t="str"/>
      <x:c r="M185" s="16" t="str">
        <x:v>그드드득</x:v>
      </x:c>
      <x:c r="N185" s="16" t="str">
        <x:v>3,500px · 여백 중</x:v>
      </x:c>
      <x:c r="O185" s="16" t="str">
        <x:v>A three meter wire-and-steel construct standing in a vast hall. IT IS THE ONLY LIGHT SOURCE — amber glowing from within, throwing light upward. All shadows stretch up the walls and ceiling. Low angle.</x:v>
      </x:c>
      <x:c r="P185" s="16" t="n">
        <x:v>2391</x:v>
      </x:c>
      <x:c r="Q185" s="16" t="str">
        <x:v>SOURCE</x:v>
      </x:c>
    </x:row>
    <x:row r="186" ht="66" customHeight="1">
      <x:c r="A186" s="16" t="str">
        <x:v>B188-190</x:v>
      </x:c>
      <x:c r="B186" s="16" t="str">
        <x:v>188</x:v>
      </x:c>
      <x:c r="C186" s="16" t="str">
        <x:v>190</x:v>
      </x:c>
      <x:c r="D186" s="16" t="n">
        <x:v>3</x:v>
      </x:c>
      <x:c r="E186" s="16" t="str">
        <x:v>EP01-S11</x:v>
      </x:c>
      <x:c r="F186" s="16" t="str">
        <x:v>9절 각성 · 10절</x:v>
      </x:c>
      <x:c r="G186" s="16" t="str">
        <x:v>세로 3단</x:v>
      </x:c>
      <x:c r="H186" s="16" t="str">
        <x:v>⭐</x:v>
      </x:c>
      <x:c r="I186" s="16" t="str">
        <x:v>07-2-3</x:v>
      </x:c>
      <x:c r="J186" s="16" t="str">
        <x:v>훈련장 근접판 엠버</x:v>
      </x:c>
      <x:c r="K186" s="16" t="str">
        <x:v>① 판단이 끝난 얼굴 ② 낫을 쥔 손 ③ 두 사람과 놈, 출구는 프레임에 없다</x:v>
      </x:c>
      <x:c r="L186" s="16" t="str">
        <x:v>나레이션: 감당 못 할 건 건드리지 마라. / 그렇게 배웠고, 2년 동안 그 말만 지켰다. / 그런데 도망갈 데가 없었다.</x:v>
      </x:c>
      <x:c r="M186" s="16" t="str"/>
      <x:c r="N186" s="16" t="str">
        <x:v>2,800px · 여백 중</x:v>
      </x:c>
      <x:c r="O186" s="16" t="str">
        <x:v>Three stacked panels: a woman's face after a decision is made, a hand gripping a scythe, two small figures facing a huge construct with no exit in frame.</x:v>
      </x:c>
      <x:c r="P186" s="16" t="n">
        <x:v>2404</x:v>
      </x:c>
      <x:c r="Q186" s="16" t="str">
        <x:v>SOURCE_SPLIT</x:v>
      </x:c>
    </x:row>
    <x:row r="187" ht="66" customHeight="1">
      <x:c r="A187" s="16" t="str">
        <x:v>B191-191</x:v>
      </x:c>
      <x:c r="B187" s="16" t="str">
        <x:v>191</x:v>
      </x:c>
      <x:c r="C187" s="16" t="str">
        <x:v>191</x:v>
      </x:c>
      <x:c r="D187" s="16" t="n">
        <x:v>1</x:v>
      </x:c>
      <x:c r="E187" s="16" t="str">
        <x:v>EP01-S11</x:v>
      </x:c>
      <x:c r="F187" s="16" t="str">
        <x:v>9절 각성 · 10절</x:v>
      </x:c>
      <x:c r="G187" s="16" t="str">
        <x:v>MS 카인</x:v>
      </x:c>
      <x:c r="H187" s="16" t="str"/>
      <x:c r="I187" s="16" t="str">
        <x:v>07-2-3</x:v>
      </x:c>
      <x:c r="J187" s="16" t="str">
        <x:v>훈련장 근접판 엠버</x:v>
      </x:c>
      <x:c r="K187" s="16" t="str">
        <x:v>대검을 고쳐 쥔다</x:v>
      </x:c>
      <x:c r="L187" s="16" t="str">
        <x:v>대사 · 카인: 「…30만 원짜리 짚단이 아닌데.」</x:v>
      </x:c>
      <x:c r="M187" s="16" t="str"/>
      <x:c r="N187" s="16" t="str">
        <x:v>900px · 여백 중</x:v>
      </x:c>
      <x:c r="O187" s="16" t="str">
        <x:v>A large man readjusting his grip on a greatsword.</x:v>
      </x:c>
      <x:c r="P187" s="16" t="n">
        <x:v>2417</x:v>
      </x:c>
      <x:c r="Q187" s="16" t="str">
        <x:v>SOURCE</x:v>
      </x:c>
    </x:row>
    <x:row r="188" ht="66" customHeight="1">
      <x:c r="A188" s="16" t="str">
        <x:v>B192-192</x:v>
      </x:c>
      <x:c r="B188" s="16" t="str">
        <x:v>192</x:v>
      </x:c>
      <x:c r="C188" s="16" t="str">
        <x:v>192</x:v>
      </x:c>
      <x:c r="D188" s="16" t="n">
        <x:v>1</x:v>
      </x:c>
      <x:c r="E188" s="16" t="str">
        <x:v>EP01-S11</x:v>
      </x:c>
      <x:c r="F188" s="16" t="str">
        <x:v>9절 각성 · 10절</x:v>
      </x:c>
      <x:c r="G188" s="16" t="str">
        <x:v>CU 놈</x:v>
      </x:c>
      <x:c r="H188" s="16" t="str"/>
      <x:c r="I188" s="16" t="str">
        <x:v>07-2-3</x:v>
      </x:c>
      <x:c r="J188" s="16" t="str">
        <x:v>훈련장 근접판 엠버</x:v>
      </x:c>
      <x:c r="K188" s="16" t="str">
        <x:v>붉은 안광. 고개가 기울어진다</x:v>
      </x:c>
      <x:c r="L188" s="16" t="str"/>
      <x:c r="M188" s="16" t="str"/>
      <x:c r="N188" s="16" t="str">
        <x:v>800px · 여백 중</x:v>
      </x:c>
      <x:c r="O188" s="16" t="str">
        <x:v>Close on a construct's head. Two red points of light. The head tilts.</x:v>
      </x:c>
      <x:c r="P188" s="16" t="n">
        <x:v>2430</x:v>
      </x:c>
      <x:c r="Q188" s="16" t="str">
        <x:v>SOURCE</x:v>
      </x:c>
    </x:row>
    <x:row r="189" ht="66" customHeight="1">
      <x:c r="A189" s="16" t="str">
        <x:v>B193-193</x:v>
      </x:c>
      <x:c r="B189" s="16" t="str">
        <x:v>193</x:v>
      </x:c>
      <x:c r="C189" s="16" t="str">
        <x:v>193</x:v>
      </x:c>
      <x:c r="D189" s="16" t="n">
        <x:v>1</x:v>
      </x:c>
      <x:c r="E189" s="16" t="str">
        <x:v>EP01-S11</x:v>
      </x:c>
      <x:c r="F189" s="16" t="str">
        <x:v>9절 각성 · 10절</x:v>
      </x:c>
      <x:c r="G189" s="16" t="str">
        <x:v>CU 이중 말풍선</x:v>
      </x:c>
      <x:c r="H189" s="16" t="str">
        <x:v>⭐🎣</x:v>
      </x:c>
      <x:c r="I189" s="16" t="str">
        <x:v>07-2-3</x:v>
      </x:c>
      <x:c r="J189" s="16" t="str">
        <x:v>훈련장 근접판 엠버</x:v>
      </x:c>
      <x:c r="K189" s="16" t="str">
        <x:v>놈이 말한다. 말풍선 뒤에 한 겹 더. 뒤겹에는 글자가 아니라 파형</x:v>
      </x:c>
      <x:c r="L189" s="16" t="str">
        <x:v>대사 · 보스: 「어설프다… 벌레 같은 인간놈들!」</x:v>
      </x:c>
      <x:c r="M189" s="16" t="str"/>
      <x:c r="N189" s="16" t="str">
        <x:v>2,500px · 여백 중</x:v>
      </x:c>
      <x:c r="O189" s="16" t="str">
        <x:v>A construct speaking. Leave clear space for a speech bubble. Do not draw text.</x:v>
      </x:c>
      <x:c r="P189" s="16" t="n">
        <x:v>2442</x:v>
      </x:c>
      <x:c r="Q189" s="16" t="str">
        <x:v>SOURCE</x:v>
      </x:c>
    </x:row>
    <x:row r="190" ht="66" customHeight="1">
      <x:c r="A190" s="16" t="str">
        <x:v>B194-194</x:v>
      </x:c>
      <x:c r="B190" s="16" t="str">
        <x:v>194</x:v>
      </x:c>
      <x:c r="C190" s="16" t="str">
        <x:v>194</x:v>
      </x:c>
      <x:c r="D190" s="16" t="n">
        <x:v>1</x:v>
      </x:c>
      <x:c r="E190" s="16" t="str">
        <x:v>EP01-S11</x:v>
      </x:c>
      <x:c r="F190" s="16" t="str">
        <x:v>9절 각성 · 10절</x:v>
      </x:c>
      <x:c r="G190" s="16" t="str">
        <x:v>CU 아인</x:v>
      </x:c>
      <x:c r="H190" s="16" t="str"/>
      <x:c r="I190" s="16" t="str">
        <x:v>07-2-3</x:v>
      </x:c>
      <x:c r="J190" s="16" t="str">
        <x:v>훈련장 근접판 엠버</x:v>
      </x:c>
      <x:c r="K190" s="16" t="str">
        <x:v>눈이 좁아진다</x:v>
      </x:c>
      <x:c r="L190" s="16" t="str">
        <x:v>대사 · 아인: 「…방금, 목소리가 두 개였어.」</x:v>
      </x:c>
      <x:c r="M190" s="16" t="str"/>
      <x:c r="N190" s="16" t="str">
        <x:v>800px · 여백 중</x:v>
      </x:c>
      <x:c r="O190" s="16" t="str">
        <x:v>A young woman's eyes narrowing.</x:v>
      </x:c>
      <x:c r="P190" s="16" t="n">
        <x:v>2455</x:v>
      </x:c>
      <x:c r="Q190" s="16" t="str">
        <x:v>SOURCE</x:v>
      </x:c>
    </x:row>
    <x:row r="191" ht="66" customHeight="1">
      <x:c r="A191" s="16" t="str">
        <x:v>B195-199</x:v>
      </x:c>
      <x:c r="B191" s="16" t="str">
        <x:v>195</x:v>
      </x:c>
      <x:c r="C191" s="16" t="str">
        <x:v>199</x:v>
      </x:c>
      <x:c r="D191" s="16" t="n">
        <x:v>5</x:v>
      </x:c>
      <x:c r="E191" s="16" t="str">
        <x:v>EP01-S11</x:v>
      </x:c>
      <x:c r="F191" s="16" t="str">
        <x:v>9절 각성 · 10절</x:v>
      </x:c>
      <x:c r="G191" s="16" t="str">
        <x:v>세로 4단</x:v>
      </x:c>
      <x:c r="H191" s="16" t="str">
        <x:v>⭐</x:v>
      </x:c>
      <x:c r="I191" s="16" t="str">
        <x:v>07-2-3</x:v>
      </x:c>
      <x:c r="J191" s="16" t="str">
        <x:v>훈련장 근접판 엠버</x:v>
      </x:c>
      <x:c r="K191" s="16" t="str">
        <x:v>① 어깨가 감긴다 ② 허리가 비틀린다 ③ 발이 바닥을 고정한다 ④ 강선이 팽팽해진다</x:v>
      </x:c>
      <x:c r="L191" s="16" t="str"/>
      <x:c r="M191" s="16" t="str">
        <x:v>지잉—</x:v>
      </x:c>
      <x:c r="N191" s="16" t="str">
        <x:v>3,200px · 여백 중</x:v>
      </x:c>
      <x:c r="O191" s="16" t="str">
        <x:v>Four stacked panels of a construct winding up: a shoulder coiling, a waist twisting, a foot planting, steel cable pulling taut.</x:v>
      </x:c>
      <x:c r="P191" s="16" t="n">
        <x:v>2468</x:v>
      </x:c>
      <x:c r="Q191" s="16" t="str">
        <x:v>EDITORIAL_REVIEW</x:v>
      </x:c>
    </x:row>
    <x:row r="192" ht="66" customHeight="1">
      <x:c r="A192" s="16" t="str">
        <x:v>B200-200</x:v>
      </x:c>
      <x:c r="B192" s="16" t="str">
        <x:v>200</x:v>
      </x:c>
      <x:c r="C192" s="16" t="str">
        <x:v>200</x:v>
      </x:c>
      <x:c r="D192" s="16" t="n">
        <x:v>1</x:v>
      </x:c>
      <x:c r="E192" s="16" t="str">
        <x:v>EP01-S11</x:v>
      </x:c>
      <x:c r="F192" s="16" t="str">
        <x:v>9절 각성 · 10절</x:v>
      </x:c>
      <x:c r="G192" s="16" t="str">
        <x:v>WIDE</x:v>
      </x:c>
      <x:c r="H192" s="16" t="str">
        <x:v>⭐</x:v>
      </x:c>
      <x:c r="I192" s="16" t="str">
        <x:v>07-2-3</x:v>
      </x:c>
      <x:c r="J192" s="16" t="str">
        <x:v>훈련장 근접판 엠버</x:v>
      </x:c>
      <x:c r="K192" s="16" t="str">
        <x:v>아인이 앞으로 나선다. 카인보다 먼저</x:v>
      </x:c>
      <x:c r="L192" s="16" t="str"/>
      <x:c r="M192" s="16" t="str"/>
      <x:c r="N192" s="16" t="str">
        <x:v>1,000px · 여백 중</x:v>
      </x:c>
      <x:c r="O192" s="16" t="str">
        <x:v>A young woman stepping forward ahead of a larger man.</x:v>
      </x:c>
      <x:c r="P192" s="16" t="n">
        <x:v>2481</x:v>
      </x:c>
      <x:c r="Q192" s="16" t="str">
        <x:v>SOURCE</x:v>
      </x:c>
    </x:row>
    <x:row r="193" ht="66" customHeight="1">
      <x:c r="A193" s="16" t="str">
        <x:v>B201-201</x:v>
      </x:c>
      <x:c r="B193" s="16" t="str">
        <x:v>201</x:v>
      </x:c>
      <x:c r="C193" s="16" t="str">
        <x:v>201</x:v>
      </x:c>
      <x:c r="D193" s="16" t="n">
        <x:v>1</x:v>
      </x:c>
      <x:c r="E193" s="16" t="str">
        <x:v>EP01-S12</x:v>
      </x:c>
      <x:c r="F193" s="16" t="str">
        <x:v>11절 거리</x:v>
      </x:c>
      <x:c r="G193" s="16" t="str">
        <x:v>측면 눈높이 직각</x:v>
      </x:c>
      <x:c r="H193" s="16" t="str">
        <x:v>⭐🔒</x:v>
      </x:c>
      <x:c r="I193" s="16" t="str">
        <x:v>07-2</x:v>
      </x:c>
      <x:c r="J193" s="16" t="str">
        <x:v>훈련장 엠버</x:v>
      </x:c>
      <x:c r="K193" s="16" t="str">
        <x:v>기준 컷. 왼쪽 아인, 오른쪽 놈. 간격 전체가 프레임에 들어온다</x:v>
      </x:c>
      <x:c r="L193" s="16" t="str"/>
      <x:c r="M193" s="16" t="str"/>
      <x:c r="N193" s="16" t="str">
        <x:v>1,100px · 여백 중</x:v>
      </x:c>
      <x:c r="O193" s="16" t="str">
        <x:v>SIDE VIEW, EYE LEVEL, PERPENDICULAR. A woman on the left, a construct on the right. The entire gap between them is visible. Remember this exact framing.</x:v>
      </x:c>
      <x:c r="P193" s="16" t="n">
        <x:v>2499</x:v>
      </x:c>
      <x:c r="Q193" s="16" t="str">
        <x:v>SOURCE</x:v>
      </x:c>
    </x:row>
    <x:row r="194" ht="66" customHeight="1">
      <x:c r="A194" s="16" t="str">
        <x:v>B202-202</x:v>
      </x:c>
      <x:c r="B194" s="16" t="str">
        <x:v>202</x:v>
      </x:c>
      <x:c r="C194" s="16" t="str">
        <x:v>202</x:v>
      </x:c>
      <x:c r="D194" s="16" t="n">
        <x:v>1</x:v>
      </x:c>
      <x:c r="E194" s="16" t="str">
        <x:v>EP01-S12</x:v>
      </x:c>
      <x:c r="F194" s="16" t="str">
        <x:v>11절 거리</x:v>
      </x:c>
      <x:c r="G194" s="16" t="str">
        <x:v>MS</x:v>
      </x:c>
      <x:c r="H194" s="16" t="str"/>
      <x:c r="I194" s="16" t="str">
        <x:v>07-2-3</x:v>
      </x:c>
      <x:c r="J194" s="16" t="str">
        <x:v>훈련장 근접판 엠버</x:v>
      </x:c>
      <x:c r="K194" s="16" t="str">
        <x:v>아인이 파고든다</x:v>
      </x:c>
      <x:c r="L194" s="16" t="str"/>
      <x:c r="M194" s="16" t="str">
        <x:v>타—</x:v>
      </x:c>
      <x:c r="N194" s="16" t="str">
        <x:v>900px · 여백 중</x:v>
      </x:c>
      <x:c r="O194" s="16" t="str">
        <x:v>A woman dashing forward.</x:v>
      </x:c>
      <x:c r="P194" s="16" t="n">
        <x:v>2511</x:v>
      </x:c>
      <x:c r="Q194" s="16" t="str">
        <x:v>SOURCE</x:v>
      </x:c>
    </x:row>
    <x:row r="195" ht="66" customHeight="1">
      <x:c r="A195" s="16" t="str">
        <x:v>B203-203</x:v>
      </x:c>
      <x:c r="B195" s="16" t="str">
        <x:v>203</x:v>
      </x:c>
      <x:c r="C195" s="16" t="str">
        <x:v>203</x:v>
      </x:c>
      <x:c r="D195" s="16" t="n">
        <x:v>1</x:v>
      </x:c>
      <x:c r="E195" s="16" t="str">
        <x:v>EP01-S12</x:v>
      </x:c>
      <x:c r="F195" s="16" t="str">
        <x:v>11절 거리</x:v>
      </x:c>
      <x:c r="G195" s="16" t="str">
        <x:v>측면 동일 앵글</x:v>
      </x:c>
      <x:c r="H195" s="16" t="str">
        <x:v>⭐🔒</x:v>
      </x:c>
      <x:c r="I195" s="16" t="str">
        <x:v>07-2</x:v>
      </x:c>
      <x:c r="J195" s="16" t="str">
        <x:v>훈련장 엠버</x:v>
      </x:c>
      <x:c r="K195" s="16" t="str">
        <x:v>간격이 좁아졌다. 그것만 다르다</x:v>
      </x:c>
      <x:c r="L195" s="16" t="str"/>
      <x:c r="M195" s="16" t="str"/>
      <x:c r="N195" s="16" t="str">
        <x:v>1,100px · 여백 중</x:v>
      </x:c>
      <x:c r="O195" s="16" t="str">
        <x:v>IDENTICAL FRAMING TO THE PREVIOUS SIDE VIEW. Only the gap between the two is now smaller.</x:v>
      </x:c>
      <x:c r="P195" s="16" t="n">
        <x:v>2524</x:v>
      </x:c>
      <x:c r="Q195" s="16" t="str">
        <x:v>SOURCE</x:v>
      </x:c>
    </x:row>
    <x:row r="196" ht="66" customHeight="1">
      <x:c r="A196" s="16" t="str">
        <x:v>B204-204</x:v>
      </x:c>
      <x:c r="B196" s="16" t="str">
        <x:v>204</x:v>
      </x:c>
      <x:c r="C196" s="16" t="str">
        <x:v>204</x:v>
      </x:c>
      <x:c r="D196" s="16" t="n">
        <x:v>1</x:v>
      </x:c>
      <x:c r="E196" s="16" t="str">
        <x:v>EP01-S12</x:v>
      </x:c>
      <x:c r="F196" s="16" t="str">
        <x:v>11절 거리</x:v>
      </x:c>
      <x:c r="G196" s="16" t="str">
        <x:v>ECU</x:v>
      </x:c>
      <x:c r="H196" s="16" t="str">
        <x:v>📢🔴</x:v>
      </x:c>
      <x:c r="I196" s="16" t="str">
        <x:v>07-2-3</x:v>
      </x:c>
      <x:c r="J196" s="16" t="str">
        <x:v>훈련장 근접판 엠버</x:v>
      </x:c>
      <x:c r="K196" s="16" t="str">
        <x:v>낫 자루가 자기 몸에 걸린다. 팔꿈치가 옆구리에 닿았다. 자루가 돌 자리를 잃었다</x:v>
      </x:c>
      <x:c r="L196" s="16" t="str">
        <x:v>나레이션: 팔꿈치가 옆구리에 닿았다. / 자루가 돌 자리를 잃었다.</x:v>
      </x:c>
      <x:c r="M196" s="16" t="str"/>
      <x:c r="N196" s="16" t="str">
        <x:v>2,400px · 여백 중</x:v>
      </x:c>
      <x:c r="O196" s="16" t="str">
        <x:v>INFORMATION SHOT. A scythe shaft jammed against the wielder's own body. The elbow presses into her ribs. The shaft has no room to rotate. Make the obstruction clearly readable.</x:v>
      </x:c>
      <x:c r="P196" s="16" t="n">
        <x:v>2536</x:v>
      </x:c>
      <x:c r="Q196" s="16" t="str">
        <x:v>SOURCE</x:v>
      </x:c>
    </x:row>
    <x:row r="197" ht="66" customHeight="1">
      <x:c r="A197" s="16" t="str">
        <x:v>B205-206</x:v>
      </x:c>
      <x:c r="B197" s="16" t="str">
        <x:v>205</x:v>
      </x:c>
      <x:c r="C197" s="16" t="str">
        <x:v>206</x:v>
      </x:c>
      <x:c r="D197" s="16" t="n">
        <x:v>2</x:v>
      </x:c>
      <x:c r="E197" s="16" t="str">
        <x:v>EP01-S12</x:v>
      </x:c>
      <x:c r="F197" s="16" t="str">
        <x:v>11절 거리</x:v>
      </x:c>
      <x:c r="G197" s="16" t="str">
        <x:v>인서트</x:v>
      </x:c>
      <x:c r="H197" s="16" t="str"/>
      <x:c r="I197" s="16" t="str">
        <x:v>07-2-3</x:v>
      </x:c>
      <x:c r="J197" s="16" t="str">
        <x:v>훈련장 근접판 엠버</x:v>
      </x:c>
      <x:c r="K197" s="16" t="str">
        <x:v>회전이 멈춘다 → 칼날이 표면에서 튕긴다</x:v>
      </x:c>
      <x:c r="L197" s="16" t="str"/>
      <x:c r="M197" s="16" t="str">
        <x:v>틱—</x:v>
      </x:c>
      <x:c r="N197" s="16" t="str">
        <x:v>1,200px · 여백 중</x:v>
      </x:c>
      <x:c r="O197" s="16" t="str">
        <x:v>A scythe blade glancing off a hard surface with no force behind it.</x:v>
      </x:c>
      <x:c r="P197" s="16" t="n">
        <x:v>2549</x:v>
      </x:c>
      <x:c r="Q197" s="16" t="str">
        <x:v>SOURCE_SPLIT</x:v>
      </x:c>
    </x:row>
    <x:row r="198" ht="66" customHeight="1">
      <x:c r="A198" s="16" t="str">
        <x:v>B207-209</x:v>
      </x:c>
      <x:c r="B198" s="16" t="str">
        <x:v>207</x:v>
      </x:c>
      <x:c r="C198" s="16" t="str">
        <x:v>209</x:v>
      </x:c>
      <x:c r="D198" s="16" t="n">
        <x:v>3</x:v>
      </x:c>
      <x:c r="E198" s="16" t="str">
        <x:v>EP01-S12</x:v>
      </x:c>
      <x:c r="F198" s="16" t="str">
        <x:v>11절 거리</x:v>
      </x:c>
      <x:c r="G198" s="16" t="str">
        <x:v>극세로 블리드</x:v>
      </x:c>
      <x:c r="H198" s="16" t="str">
        <x:v>⭐</x:v>
      </x:c>
      <x:c r="I198" s="16" t="str">
        <x:v>07-2</x:v>
      </x:c>
      <x:c r="J198" s="16" t="str">
        <x:v>훈련장 엠버</x:v>
      </x:c>
      <x:c r="K198" s="16" t="str">
        <x:v>① 팔꿈치가 되돌아온다 ② 어깨에 정통, 아인이 날아간다 ③ 매트 위를 두 바퀴 구른다</x:v>
      </x:c>
      <x:c r="L198" s="16" t="str"/>
      <x:c r="M198" s="16" t="str">
        <x:v>쿵!</x:v>
      </x:c>
      <x:c r="N198" s="16" t="str">
        <x:v>3,800px · 여백 중</x:v>
      </x:c>
      <x:c r="O198" s="16" t="str">
        <x:v>Three moments in one tall panel: a construct's elbow driving back, a woman struck on the shoulder and thrown, her body rolling twice across the floor.</x:v>
      </x:c>
      <x:c r="P198" s="16" t="n">
        <x:v>2562</x:v>
      </x:c>
      <x:c r="Q198" s="16" t="str">
        <x:v>SOURCE_SPLIT</x:v>
      </x:c>
    </x:row>
    <x:row r="199" ht="66" customHeight="1">
      <x:c r="A199" s="16" t="str">
        <x:v>B210-211</x:v>
      </x:c>
      <x:c r="B199" s="16" t="str">
        <x:v>210</x:v>
      </x:c>
      <x:c r="C199" s="16" t="str">
        <x:v>211</x:v>
      </x:c>
      <x:c r="D199" s="16" t="n">
        <x:v>2</x:v>
      </x:c>
      <x:c r="E199" s="16" t="str">
        <x:v>EP01-S12</x:v>
      </x:c>
      <x:c r="F199" s="16" t="str">
        <x:v>11절 거리</x:v>
      </x:c>
      <x:c r="G199" s="16" t="str">
        <x:v>MS</x:v>
      </x:c>
      <x:c r="H199" s="16" t="str"/>
      <x:c r="I199" s="16" t="str">
        <x:v>07-2-3</x:v>
      </x:c>
      <x:c r="J199" s="16" t="str">
        <x:v>훈련장 근접판 엠버</x:v>
      </x:c>
      <x:c r="K199" s="16" t="str">
        <x:v>손을 짚고 일어선다. 이를 악문다</x:v>
      </x:c>
      <x:c r="L199" s="16" t="str">
        <x:v>대사 · 아인: 「…거리. 너무 붙었어.」</x:v>
      </x:c>
      <x:c r="M199" s="16" t="str"/>
      <x:c r="N199" s="16" t="str">
        <x:v>1,200px · 여백 중</x:v>
      </x:c>
      <x:c r="O199" s="16" t="str">
        <x:v>A woman pushing up off the floor, teeth clenched.</x:v>
      </x:c>
      <x:c r="P199" s="16" t="n">
        <x:v>2575</x:v>
      </x:c>
      <x:c r="Q199" s="16" t="str">
        <x:v>EDITORIAL_SPLIT</x:v>
      </x:c>
    </x:row>
    <x:row r="200" ht="66" customHeight="1">
      <x:c r="A200" s="16" t="str">
        <x:v>B212-212</x:v>
      </x:c>
      <x:c r="B200" s="16" t="str">
        <x:v>212</x:v>
      </x:c>
      <x:c r="C200" s="16" t="str">
        <x:v>212</x:v>
      </x:c>
      <x:c r="D200" s="16" t="n">
        <x:v>1</x:v>
      </x:c>
      <x:c r="E200" s="16" t="str">
        <x:v>EP01-S12</x:v>
      </x:c>
      <x:c r="F200" s="16" t="str">
        <x:v>11절 거리</x:v>
      </x:c>
      <x:c r="G200" s="16" t="str">
        <x:v>인서트 도해</x:v>
      </x:c>
      <x:c r="H200" s="16" t="str">
        <x:v>📢🔴</x:v>
      </x:c>
      <x:c r="I200" s="16" t="str">
        <x:v>—</x:v>
      </x:c>
      <x:c r="J200" s="16" t="str">
        <x:v>배경 없음</x:v>
      </x:c>
      <x:c r="K200" s="16" t="str">
        <x:v>낫의 반경 도해. 원과 그 바깥. 너무 멀면 닿지 않고, 너무 가까우면 돌지 않는다</x:v>
      </x:c>
      <x:c r="L200" s="16" t="str">
        <x:v>나레이션: 낫은 원이다. / 원을 그릴 반경이 확보되지 않으면, / 아무리 완벽한 순간에 들어가도 아무 일도 일어나지 않는다.</x:v>
      </x:c>
      <x:c r="M200" s="16" t="str"/>
      <x:c r="N200" s="16" t="str">
        <x:v>2,600px · 여백 중</x:v>
      </x:c>
      <x:c r="O200" s="16" t="str">
        <x:v>DIAGRAM. A clean circle with an amber radius line. Outside the circle: too far to reach. Inside: too close to rotate. Camera pulls back. This is information, not atmosphere.</x:v>
      </x:c>
      <x:c r="P200" s="16" t="n">
        <x:v>2588</x:v>
      </x:c>
      <x:c r="Q200" s="16" t="str">
        <x:v>SOURCE</x:v>
      </x:c>
    </x:row>
    <x:row r="201" ht="66" customHeight="1">
      <x:c r="A201" s="16" t="str">
        <x:v>B213-213</x:v>
      </x:c>
      <x:c r="B201" s="16" t="str">
        <x:v>213</x:v>
      </x:c>
      <x:c r="C201" s="16" t="str">
        <x:v>213</x:v>
      </x:c>
      <x:c r="D201" s="16" t="n">
        <x:v>1</x:v>
      </x:c>
      <x:c r="E201" s="16" t="str">
        <x:v>EP01-S12</x:v>
      </x:c>
      <x:c r="F201" s="16" t="str">
        <x:v>11절 거리</x:v>
      </x:c>
      <x:c r="G201" s="16" t="str">
        <x:v>MS</x:v>
      </x:c>
      <x:c r="H201" s="16" t="str"/>
      <x:c r="I201" s="16" t="str">
        <x:v>07-2-3</x:v>
      </x:c>
      <x:c r="J201" s="16" t="str">
        <x:v>훈련장 근접판 엠버</x:v>
      </x:c>
      <x:c r="K201" s="16" t="str">
        <x:v>아인이 숨을 고른다</x:v>
      </x:c>
      <x:c r="L201" s="16" t="str">
        <x:v>나레이션: 2년 동안 그녀는 그 좁은 띠 안에서만 싸웠다. / 그리고 오늘, 처음으로 그 띠를 벗어났다.</x:v>
      </x:c>
      <x:c r="M201" s="16" t="str"/>
      <x:c r="N201" s="16" t="str">
        <x:v>900px · 여백 중</x:v>
      </x:c>
      <x:c r="O201" s="16" t="str">
        <x:v>A woman catching her breath.</x:v>
      </x:c>
      <x:c r="P201" s="16" t="n">
        <x:v>2601</x:v>
      </x:c>
      <x:c r="Q201" s="16" t="str">
        <x:v>SOURCE</x:v>
      </x:c>
    </x:row>
    <x:row r="202" ht="66" customHeight="1">
      <x:c r="A202" s="16" t="str">
        <x:v>B214-214</x:v>
      </x:c>
      <x:c r="B202" s="16" t="str">
        <x:v>214</x:v>
      </x:c>
      <x:c r="C202" s="16" t="str">
        <x:v>214</x:v>
      </x:c>
      <x:c r="D202" s="16" t="n">
        <x:v>1</x:v>
      </x:c>
      <x:c r="E202" s="16" t="str">
        <x:v>EP01-S12</x:v>
      </x:c>
      <x:c r="F202" s="16" t="str">
        <x:v>11절 거리</x:v>
      </x:c>
      <x:c r="G202" s="16" t="str">
        <x:v>극세로</x:v>
      </x:c>
      <x:c r="H202" s="16" t="str"/>
      <x:c r="I202" s="16" t="str">
        <x:v>07-2-3</x:v>
      </x:c>
      <x:c r="J202" s="16" t="str">
        <x:v>훈련장 근접판 엠버</x:v>
      </x:c>
      <x:c r="K202" s="16" t="str">
        <x:v>놈의 회전이 본격적으로 풀린다</x:v>
      </x:c>
      <x:c r="L202" s="16" t="str"/>
      <x:c r="M202" s="16" t="str">
        <x:v>부우웅—!!</x:v>
      </x:c>
      <x:c r="N202" s="16" t="str">
        <x:v>1,000px · 여백 중</x:v>
      </x:c>
      <x:c r="O202" s="16" t="str">
        <x:v>A construct's full rotation unwinding.</x:v>
      </x:c>
      <x:c r="P202" s="16" t="n">
        <x:v>2614</x:v>
      </x:c>
      <x:c r="Q202" s="16" t="str">
        <x:v>SOURCE</x:v>
      </x:c>
    </x:row>
    <x:row r="203" ht="66" customHeight="1">
      <x:c r="A203" s="16" t="str">
        <x:v>B215-215</x:v>
      </x:c>
      <x:c r="B203" s="16" t="str">
        <x:v>215</x:v>
      </x:c>
      <x:c r="C203" s="16" t="str">
        <x:v>215</x:v>
      </x:c>
      <x:c r="D203" s="16" t="n">
        <x:v>1</x:v>
      </x:c>
      <x:c r="E203" s="16" t="str">
        <x:v>EP01-S12</x:v>
      </x:c>
      <x:c r="F203" s="16" t="str">
        <x:v>11절 거리</x:v>
      </x:c>
      <x:c r="G203" s="16" t="str">
        <x:v>WIDE</x:v>
      </x:c>
      <x:c r="H203" s="16" t="str">
        <x:v>⭐</x:v>
      </x:c>
      <x:c r="I203" s="16" t="str">
        <x:v>07-2</x:v>
      </x:c>
      <x:c r="J203" s="16" t="str">
        <x:v>훈련장 엠버</x:v>
      </x:c>
      <x:c r="K203" s="16" t="str">
        <x:v>그 사이로 산 같은 것이 뛰어든다</x:v>
      </x:c>
      <x:c r="L203" s="16" t="str">
        <x:v>대사 · 카인: 「비켜!」</x:v>
      </x:c>
      <x:c r="M203" s="16" t="str"/>
      <x:c r="N203" s="16" t="str">
        <x:v>2,400px · 여백 중</x:v>
      </x:c>
      <x:c r="O203" s="16" t="str">
        <x:v>A huge man hurling himself into the gap between them.</x:v>
      </x:c>
      <x:c r="P203" s="16" t="n">
        <x:v>2627</x:v>
      </x:c>
      <x:c r="Q203" s="16" t="str">
        <x:v>SOURCE</x:v>
      </x:c>
    </x:row>
    <x:row r="204" ht="66" customHeight="1">
      <x:c r="A204" s="16" t="str">
        <x:v>B216-217</x:v>
      </x:c>
      <x:c r="B204" s="16" t="str">
        <x:v>216</x:v>
      </x:c>
      <x:c r="C204" s="16" t="str">
        <x:v>217</x:v>
      </x:c>
      <x:c r="D204" s="16" t="n">
        <x:v>2</x:v>
      </x:c>
      <x:c r="E204" s="16" t="str">
        <x:v>EP01-S13</x:v>
      </x:c>
      <x:c r="F204" s="16" t="str">
        <x:v>12절 되돌려주는 법</x:v>
      </x:c>
      <x:c r="G204" s="16" t="str">
        <x:v>극세로</x:v>
      </x:c>
      <x:c r="H204" s="16" t="str">
        <x:v>⭐</x:v>
      </x:c>
      <x:c r="I204" s="16" t="str">
        <x:v>07-2</x:v>
      </x:c>
      <x:c r="J204" s="16" t="str">
        <x:v>훈련장 엠버</x:v>
      </x:c>
      <x:c r="K204" s="16" t="str">
        <x:v>가로막는다 → 대검이 바닥에 수직으로 꽂힌다</x:v>
      </x:c>
      <x:c r="L204" s="16" t="str"/>
      <x:c r="M204" s="16" t="str">
        <x:v>쾅!</x:v>
      </x:c>
      <x:c r="N204" s="16" t="str">
        <x:v>2,600px · 여백 중</x:v>
      </x:c>
      <x:c r="O204" s="16" t="str">
        <x:v>A man blocking the way, then driving a greatsword vertically into the concrete floor.</x:v>
      </x:c>
      <x:c r="P204" s="16" t="n">
        <x:v>2646</x:v>
      </x:c>
      <x:c r="Q204" s="16" t="str">
        <x:v>SOURCE_SPLIT</x:v>
      </x:c>
    </x:row>
    <x:row r="205" ht="66" customHeight="1">
      <x:c r="A205" s="16" t="str">
        <x:v>B218-221</x:v>
      </x:c>
      <x:c r="B205" s="16" t="str">
        <x:v>218</x:v>
      </x:c>
      <x:c r="C205" s="16" t="str">
        <x:v>221</x:v>
      </x:c>
      <x:c r="D205" s="16" t="n">
        <x:v>4</x:v>
      </x:c>
      <x:c r="E205" s="16" t="str">
        <x:v>EP01-S13</x:v>
      </x:c>
      <x:c r="F205" s="16" t="str">
        <x:v>12절 되돌려주는 법</x:v>
      </x:c>
      <x:c r="G205" s="16" t="str">
        <x:v>세로 4단</x:v>
      </x:c>
      <x:c r="H205" s="16" t="str">
        <x:v>⭐</x:v>
      </x:c>
      <x:c r="I205" s="16" t="str">
        <x:v>07-2-3</x:v>
      </x:c>
      <x:c r="J205" s="16" t="str">
        <x:v>훈련장 근접판 엠버</x:v>
      </x:c>
      <x:c r="K205" s="16" t="str">
        <x:v>① 두 발이 땅에 ② 무기가 땅에 ③ 코어 출력이 대검 표면에 얇게 펴 발린다 ④ 반 호흡</x:v>
      </x:c>
      <x:c r="L205" s="16" t="str">
        <x:v>나레이션: 두 발이 땅에. 무기가 땅에. 그리고 반 호흡.</x:v>
      </x:c>
      <x:c r="M205" s="16" t="str"/>
      <x:c r="N205" s="16" t="str">
        <x:v>3,000px · 여백 넓</x:v>
      </x:c>
      <x:c r="O205" s="16" t="str">
        <x:v>Four stacked panels: two boots planted, a blade planted, amber energy spreading THINLY across the sword surface like a coat, then a held half-breath.</x:v>
      </x:c>
      <x:c r="P205" s="16" t="n">
        <x:v>2659</x:v>
      </x:c>
      <x:c r="Q205" s="16" t="str">
        <x:v>SOURCE_SPLIT</x:v>
      </x:c>
    </x:row>
    <x:row r="206" ht="66" customHeight="1">
      <x:c r="A206" s="16" t="str">
        <x:v>B222-222</x:v>
      </x:c>
      <x:c r="B206" s="16" t="str">
        <x:v>222</x:v>
      </x:c>
      <x:c r="C206" s="16" t="str">
        <x:v>222</x:v>
      </x:c>
      <x:c r="D206" s="16" t="n">
        <x:v>1</x:v>
      </x:c>
      <x:c r="E206" s="16" t="str">
        <x:v>EP01-S13</x:v>
      </x:c>
      <x:c r="F206" s="16" t="str">
        <x:v>12절 되돌려주는 법</x:v>
      </x:c>
      <x:c r="G206" s="16" t="str">
        <x:v>극세로 블리드</x:v>
      </x:c>
      <x:c r="H206" s="16" t="str">
        <x:v>⭐</x:v>
      </x:c>
      <x:c r="I206" s="16" t="str">
        <x:v>07-2-3</x:v>
      </x:c>
      <x:c r="J206" s="16" t="str">
        <x:v>훈련장 근접판 엠버</x:v>
      </x:c>
      <x:c r="K206" s="16" t="str">
        <x:v>콰창—!! 대검 표면에 주황 충격파가 얇게 번지며 놈의 팔과 정면 충돌</x:v>
      </x:c>
      <x:c r="L206" s="16" t="str"/>
      <x:c r="M206" s="16" t="str">
        <x:v>콰창—!!</x:v>
      </x:c>
      <x:c r="N206" s="16" t="str">
        <x:v>3,900px · 여백 중</x:v>
      </x:c>
      <x:c r="O206" s="16" t="str">
        <x:v>PEAK FLASH. A thin amber shockwave spreading across a greatsword as it meets a construct's arm head on. Brightest moment of the episode. Not a wall — a trampoline.</x:v>
      </x:c>
      <x:c r="P206" s="16" t="n">
        <x:v>2672</x:v>
      </x:c>
      <x:c r="Q206" s="16" t="str">
        <x:v>SOURCE</x:v>
      </x:c>
    </x:row>
    <x:row r="207" ht="66" customHeight="1">
      <x:c r="A207" s="16" t="str">
        <x:v>B223-223</x:v>
      </x:c>
      <x:c r="B207" s="16" t="str">
        <x:v>223</x:v>
      </x:c>
      <x:c r="C207" s="16" t="str">
        <x:v>223</x:v>
      </x:c>
      <x:c r="D207" s="16" t="n">
        <x:v>1</x:v>
      </x:c>
      <x:c r="E207" s="16" t="str">
        <x:v>EP01-S13</x:v>
      </x:c>
      <x:c r="F207" s="16" t="str">
        <x:v>12절 되돌려주는 법</x:v>
      </x:c>
      <x:c r="G207" s="16" t="str">
        <x:v>WIDE</x:v>
      </x:c>
      <x:c r="H207" s="16" t="str"/>
      <x:c r="I207" s="16" t="str">
        <x:v>07-2</x:v>
      </x:c>
      <x:c r="J207" s="16" t="str">
        <x:v>훈련장 엠버</x:v>
      </x:c>
      <x:c r="K207" s="16" t="str">
        <x:v>되돌아간 힘에 3미터짜리 몸통이 통째로 밀린다</x:v>
      </x:c>
      <x:c r="L207" s="16" t="str"/>
      <x:c r="M207" s="16" t="str"/>
      <x:c r="N207" s="16" t="str">
        <x:v>1,300px · 여백 중</x:v>
      </x:c>
      <x:c r="O207" s="16" t="str">
        <x:v>A three meter construct pushed back bodily by returned force.</x:v>
      </x:c>
      <x:c r="P207" s="16" t="n">
        <x:v>2685</x:v>
      </x:c>
      <x:c r="Q207" s="16" t="str">
        <x:v>SOURCE</x:v>
      </x:c>
    </x:row>
    <x:row r="208" ht="66" customHeight="1">
      <x:c r="A208" s="16" t="str">
        <x:v>B224-224</x:v>
      </x:c>
      <x:c r="B208" s="16" t="str">
        <x:v>224</x:v>
      </x:c>
      <x:c r="C208" s="16" t="str">
        <x:v>224</x:v>
      </x:c>
      <x:c r="D208" s="16" t="n">
        <x:v>1</x:v>
      </x:c>
      <x:c r="E208" s="16" t="str">
        <x:v>EP01-S13</x:v>
      </x:c>
      <x:c r="F208" s="16" t="str">
        <x:v>12절 되돌려주는 법</x:v>
      </x:c>
      <x:c r="G208" s="16" t="str">
        <x:v>ECU</x:v>
      </x:c>
      <x:c r="H208" s="16" t="str"/>
      <x:c r="I208" s="16" t="str">
        <x:v>07-2-3</x:v>
      </x:c>
      <x:c r="J208" s="16" t="str">
        <x:v>훈련장 근접판 엠버</x:v>
      </x:c>
      <x:c r="K208" s="16" t="str">
        <x:v>카인의 발이 바닥을 파고든다. 이가 갈린다</x:v>
      </x:c>
      <x:c r="L208" s="16" t="str">
        <x:v>대사 · 카인: 「내 뒤로는… 못 지난다!」</x:v>
      </x:c>
      <x:c r="M208" s="16" t="str"/>
      <x:c r="N208" s="16" t="str">
        <x:v>1,200px · 여백 중</x:v>
      </x:c>
      <x:c r="O208" s="16" t="str">
        <x:v>Boots digging into concrete. Teeth grinding.</x:v>
      </x:c>
      <x:c r="P208" s="16" t="n">
        <x:v>2697</x:v>
      </x:c>
      <x:c r="Q208" s="16" t="str">
        <x:v>SOURCE</x:v>
      </x:c>
    </x:row>
    <x:row r="209" ht="66" customHeight="1">
      <x:c r="A209" s="16" t="str">
        <x:v>B225-226</x:v>
      </x:c>
      <x:c r="B209" s="16" t="str">
        <x:v>225</x:v>
      </x:c>
      <x:c r="C209" s="16" t="str">
        <x:v>226</x:v>
      </x:c>
      <x:c r="D209" s="16" t="n">
        <x:v>2</x:v>
      </x:c>
      <x:c r="E209" s="16" t="str">
        <x:v>EP01-S13</x:v>
      </x:c>
      <x:c r="F209" s="16" t="str">
        <x:v>12절 되돌려주는 법</x:v>
      </x:c>
      <x:c r="G209" s="16" t="str">
        <x:v>WIDE</x:v>
      </x:c>
      <x:c r="H209" s="16" t="str">
        <x:v>⭐🎭</x:v>
      </x:c>
      <x:c r="I209" s="16" t="str">
        <x:v>07-2-3</x:v>
      </x:c>
      <x:c r="J209" s="16" t="str">
        <x:v>훈련장 근접판 엠버</x:v>
      </x:c>
      <x:c r="K209" s="16" t="str">
        <x:v>힘이 빠져나간 몸이 자기 무게를 못 이기고 휘청인다</x:v>
      </x:c>
      <x:c r="L209" s="16" t="str">
        <x:v>나레이션: 길어야 숨 한 번. 그 한 번이 전부였다.</x:v>
      </x:c>
      <x:c r="M209" s="16" t="str"/>
      <x:c r="N209" s="16" t="str">
        <x:v>1,400px · 여백 극</x:v>
      </x:c>
      <x:c r="O209" s="16" t="str">
        <x:v>A construct staggering under its own weight, drained.</x:v>
      </x:c>
      <x:c r="P209" s="16" t="n">
        <x:v>2710</x:v>
      </x:c>
      <x:c r="Q209" s="16" t="str">
        <x:v>EDITORIAL_REVIEW</x:v>
      </x:c>
    </x:row>
    <x:row r="210" ht="66" customHeight="1">
      <x:c r="A210" s="16" t="str">
        <x:v>B227-227</x:v>
      </x:c>
      <x:c r="B210" s="16" t="str">
        <x:v>227</x:v>
      </x:c>
      <x:c r="C210" s="16" t="str">
        <x:v>227</x:v>
      </x:c>
      <x:c r="D210" s="16" t="n">
        <x:v>1</x:v>
      </x:c>
      <x:c r="E210" s="16" t="str">
        <x:v>EP01-S14</x:v>
      </x:c>
      <x:c r="F210" s="16" t="str">
        <x:v>13절 끊는 법</x:v>
      </x:c>
      <x:c r="G210" s="16" t="str">
        <x:v>MS</x:v>
      </x:c>
      <x:c r="H210" s="16" t="str">
        <x:v>🤫</x:v>
      </x:c>
      <x:c r="I210" s="16" t="str">
        <x:v>07-2-3</x:v>
      </x:c>
      <x:c r="J210" s="16" t="str">
        <x:v>훈련장 근접판 엠버</x:v>
      </x:c>
      <x:c r="K210" s="16" t="str">
        <x:v>아인이 일어선다</x:v>
      </x:c>
      <x:c r="L210" s="16" t="str"/>
      <x:c r="M210" s="16" t="str"/>
      <x:c r="N210" s="16" t="str">
        <x:v>600px · 여백 극</x:v>
      </x:c>
      <x:c r="O210" s="16" t="str">
        <x:v>A woman standing up.</x:v>
      </x:c>
      <x:c r="P210" s="16" t="n">
        <x:v>2729</x:v>
      </x:c>
      <x:c r="Q210" s="16" t="str">
        <x:v>SOURCE</x:v>
      </x:c>
    </x:row>
    <x:row r="211" ht="66" customHeight="1">
      <x:c r="A211" s="16" t="str">
        <x:v>B228-228</x:v>
      </x:c>
      <x:c r="B211" s="16" t="str">
        <x:v>228</x:v>
      </x:c>
      <x:c r="C211" s="16" t="str">
        <x:v>228</x:v>
      </x:c>
      <x:c r="D211" s="16" t="n">
        <x:v>1</x:v>
      </x:c>
      <x:c r="E211" s="16" t="str">
        <x:v>EP01-S14</x:v>
      </x:c>
      <x:c r="F211" s="16" t="str">
        <x:v>13절 끊는 법</x:v>
      </x:c>
      <x:c r="G211" s="16" t="str">
        <x:v>측면 동일 앵글</x:v>
      </x:c>
      <x:c r="H211" s="16" t="str">
        <x:v>⭐🔒</x:v>
      </x:c>
      <x:c r="I211" s="16" t="str">
        <x:v>07-2</x:v>
      </x:c>
      <x:c r="J211" s="16" t="str">
        <x:v>훈련장 엠버</x:v>
      </x:c>
      <x:c r="K211" s="16" t="str">
        <x:v>뛰지 않았다. 발이 멈췄다. 간격이 딱 낫 하나 길이</x:v>
      </x:c>
      <x:c r="L211" s="16" t="str"/>
      <x:c r="M211" s="16" t="str"/>
      <x:c r="N211" s="16" t="str">
        <x:v>1,400px · 여백 극</x:v>
      </x:c>
      <x:c r="O211" s="16" t="str">
        <x:v>IDENTICAL FRAMING TO CUT 201 AND 203. She has NOT dashed. Her feet are planted. The gap is now exactly one scythe length.</x:v>
      </x:c>
      <x:c r="P211" s="16" t="n">
        <x:v>2741</x:v>
      </x:c>
      <x:c r="Q211" s="16" t="str">
        <x:v>SOURCE</x:v>
      </x:c>
    </x:row>
    <x:row r="212" ht="66" customHeight="1">
      <x:c r="A212" s="16" t="str">
        <x:v>B229-229</x:v>
      </x:c>
      <x:c r="B212" s="16" t="str">
        <x:v>229</x:v>
      </x:c>
      <x:c r="C212" s="16" t="str">
        <x:v>229</x:v>
      </x:c>
      <x:c r="D212" s="16" t="n">
        <x:v>1</x:v>
      </x:c>
      <x:c r="E212" s="16" t="str">
        <x:v>EP01-S14</x:v>
      </x:c>
      <x:c r="F212" s="16" t="str">
        <x:v>13절 끊는 법</x:v>
      </x:c>
      <x:c r="G212" s="16" t="str">
        <x:v>인서트</x:v>
      </x:c>
      <x:c r="H212" s="16" t="str">
        <x:v>🤫🔴</x:v>
      </x:c>
      <x:c r="I212" s="16" t="str">
        <x:v>07-2-3</x:v>
      </x:c>
      <x:c r="J212" s="16" t="str">
        <x:v>훈련장 근접판 엠버</x:v>
      </x:c>
      <x:c r="K212" s="16" t="str">
        <x:v>발끝. 움직이지 않는다</x:v>
      </x:c>
      <x:c r="L212" s="16" t="str"/>
      <x:c r="M212" s="16" t="str"/>
      <x:c r="N212" s="16" t="str">
        <x:v>500px · 여백 극</x:v>
      </x:c>
      <x:c r="O212" s="16" t="str">
        <x:v>Close on the tips of boots. Not moving.</x:v>
      </x:c>
      <x:c r="P212" s="16" t="n">
        <x:v>2753</x:v>
      </x:c>
      <x:c r="Q212" s="16" t="str">
        <x:v>SOURCE</x:v>
      </x:c>
    </x:row>
    <x:row r="213" ht="66" customHeight="1">
      <x:c r="A213" s="16" t="str">
        <x:v>B230-230</x:v>
      </x:c>
      <x:c r="B213" s="16" t="str">
        <x:v>230</x:v>
      </x:c>
      <x:c r="C213" s="16" t="str">
        <x:v>230</x:v>
      </x:c>
      <x:c r="D213" s="16" t="n">
        <x:v>1</x:v>
      </x:c>
      <x:c r="E213" s="16" t="str">
        <x:v>EP01-S14</x:v>
      </x:c>
      <x:c r="F213" s="16" t="str">
        <x:v>13절 끊는 법</x:v>
      </x:c>
      <x:c r="G213" s="16" t="str">
        <x:v>ECU</x:v>
      </x:c>
      <x:c r="H213" s="16" t="str"/>
      <x:c r="I213" s="16" t="str">
        <x:v>07-2-3</x:v>
      </x:c>
      <x:c r="J213" s="16" t="str">
        <x:v>훈련장 근접판 엠버</x:v>
      </x:c>
      <x:c r="K213" s="16" t="str">
        <x:v>아인의 눈. 거리를 재고 있다</x:v>
      </x:c>
      <x:c r="L213" s="16" t="str">
        <x:v>대사 · 아인: 「이번엔—」</x:v>
      </x:c>
      <x:c r="M213" s="16" t="str"/>
      <x:c r="N213" s="16" t="str">
        <x:v>700px · 여백 중</x:v>
      </x:c>
      <x:c r="O213" s="16" t="str">
        <x:v>Extreme close on eyes measuring a distance.</x:v>
      </x:c>
      <x:c r="P213" s="16" t="n">
        <x:v>2765</x:v>
      </x:c>
      <x:c r="Q213" s="16" t="str">
        <x:v>SOURCE</x:v>
      </x:c>
    </x:row>
    <x:row r="214" ht="66" customHeight="1">
      <x:c r="A214" s="16" t="str">
        <x:v>B231-231</x:v>
      </x:c>
      <x:c r="B214" s="16" t="str">
        <x:v>231</x:v>
      </x:c>
      <x:c r="C214" s="16" t="str">
        <x:v>231</x:v>
      </x:c>
      <x:c r="D214" s="16" t="n">
        <x:v>1</x:v>
      </x:c>
      <x:c r="E214" s="16" t="str">
        <x:v>EP01-S14</x:v>
      </x:c>
      <x:c r="F214" s="16" t="str">
        <x:v>13절 끊는 법</x:v>
      </x:c>
      <x:c r="G214" s="16" t="str">
        <x:v>극세로 블리드</x:v>
      </x:c>
      <x:c r="H214" s="16" t="str">
        <x:v>⭐</x:v>
      </x:c>
      <x:c r="I214" s="16" t="str">
        <x:v>07-2</x:v>
      </x:c>
      <x:c r="J214" s="16" t="str">
        <x:v>훈련장 엠버</x:v>
      </x:c>
      <x:c r="K214" s="16" t="str">
        <x:v>몸을 비틀며 솟구친다</x:v>
      </x:c>
      <x:c r="L214" s="16" t="str"/>
      <x:c r="M214" s="16" t="str">
        <x:v>타앙—</x:v>
      </x:c>
      <x:c r="N214" s="16" t="str">
        <x:v>2,800px · 여백 중</x:v>
      </x:c>
      <x:c r="O214" s="16" t="str">
        <x:v>A woman twisting her body and launching upward.</x:v>
      </x:c>
      <x:c r="P214" s="16" t="n">
        <x:v>2778</x:v>
      </x:c>
      <x:c r="Q214" s="16" t="str">
        <x:v>SOURCE</x:v>
      </x:c>
    </x:row>
    <x:row r="215" ht="66" customHeight="1">
      <x:c r="A215" s="16" t="str">
        <x:v>B232-233</x:v>
      </x:c>
      <x:c r="B215" s="16" t="str">
        <x:v>232</x:v>
      </x:c>
      <x:c r="C215" s="16" t="str">
        <x:v>233</x:v>
      </x:c>
      <x:c r="D215" s="16" t="n">
        <x:v>2</x:v>
      </x:c>
      <x:c r="E215" s="16" t="str">
        <x:v>EP01-S14</x:v>
      </x:c>
      <x:c r="F215" s="16" t="str">
        <x:v>13절 끊는 법</x:v>
      </x:c>
      <x:c r="G215" s="16" t="str">
        <x:v>전면 색조 전환</x:v>
      </x:c>
      <x:c r="H215" s="16" t="str"/>
      <x:c r="I215" s="16" t="str">
        <x:v>07-2-3</x:v>
      </x:c>
      <x:c r="J215" s="16" t="str">
        <x:v>훈련장 근접판 엠버</x:v>
      </x:c>
      <x:c r="K215" s="16" t="str">
        <x:v>세상이 늘어진다. 채도가 폭발하듯 올라가고 소리가 멀어진다. 놈의 팔 궤적이 한 조각씩 끊겨 보인다</x:v>
      </x:c>
      <x:c r="L215" s="16" t="str"/>
      <x:c r="M215" s="16" t="str"/>
      <x:c r="N215" s="16" t="str">
        <x:v>1,500px · 여백 중</x:v>
      </x:c>
      <x:c r="O215" s="16" t="str">
        <x:v>Time dilation. Saturation surges. A construct's arm trajectory visible as separated frozen slices.</x:v>
      </x:c>
      <x:c r="P215" s="16" t="n">
        <x:v>2791</x:v>
      </x:c>
      <x:c r="Q215" s="16" t="str">
        <x:v>EDITORIAL_SPLIT</x:v>
      </x:c>
    </x:row>
    <x:row r="216" ht="66" customHeight="1">
      <x:c r="A216" s="16" t="str">
        <x:v>B234-234</x:v>
      </x:c>
      <x:c r="B216" s="16" t="str">
        <x:v>234</x:v>
      </x:c>
      <x:c r="C216" s="16" t="str">
        <x:v>234</x:v>
      </x:c>
      <x:c r="D216" s="16" t="n">
        <x:v>1</x:v>
      </x:c>
      <x:c r="E216" s="16" t="str">
        <x:v>EP01-S14</x:v>
      </x:c>
      <x:c r="F216" s="16" t="str">
        <x:v>13절 끊는 법</x:v>
      </x:c>
      <x:c r="G216" s="16" t="str">
        <x:v>인서트 도해</x:v>
      </x:c>
      <x:c r="H216" s="16" t="str">
        <x:v>📢🔴</x:v>
      </x:c>
      <x:c r="I216" s="16" t="str">
        <x:v>—</x:v>
      </x:c>
      <x:c r="J216" s="16" t="str">
        <x:v>배경 없음</x:v>
      </x:c>
      <x:c r="K216" s="16" t="str">
        <x:v>놈의 몸을 흐르는 길. 어깨→팔꿈치→손끝. 그 길의 이음매에서 나노 편대가 얇아진다</x:v>
      </x:c>
      <x:c r="L216" s="16" t="str">
        <x:v>나레이션: 힘이 흐르는 길이 있다. / 그 길에는 반드시 이음매가 있고, / 이음매에서는 나노 편대가 얇아진다. / 죽이는 게 아니다. 끊는 것이다.</x:v>
      </x:c>
      <x:c r="M216" s="16" t="str"/>
      <x:c r="N216" s="16" t="str">
        <x:v>2,600px · 여백 중</x:v>
      </x:c>
      <x:c r="O216" s="16" t="str">
        <x:v>DIAGRAM. A line of force running shoulder to elbow to fingertip. Two joints along the path glow amber — these are the thin points. Clean, informational.</x:v>
      </x:c>
      <x:c r="P216" s="16" t="n">
        <x:v>2803</x:v>
      </x:c>
      <x:c r="Q216" s="16" t="str">
        <x:v>SOURCE</x:v>
      </x:c>
    </x:row>
    <x:row r="217" ht="66" customHeight="1">
      <x:c r="A217" s="16" t="str">
        <x:v>B235-235</x:v>
      </x:c>
      <x:c r="B217" s="16" t="str">
        <x:v>235</x:v>
      </x:c>
      <x:c r="C217" s="16" t="str">
        <x:v>235</x:v>
      </x:c>
      <x:c r="D217" s="16" t="n">
        <x:v>1</x:v>
      </x:c>
      <x:c r="E217" s="16" t="str">
        <x:v>EP01-S14</x:v>
      </x:c>
      <x:c r="F217" s="16" t="str">
        <x:v>13절 끊는 법</x:v>
      </x:c>
      <x:c r="G217" s="16" t="str">
        <x:v>극세로 블리드</x:v>
      </x:c>
      <x:c r="H217" s="16" t="str">
        <x:v>⭐</x:v>
      </x:c>
      <x:c r="I217" s="16" t="str">
        <x:v>07-2-3</x:v>
      </x:c>
      <x:c r="J217" s="16" t="str">
        <x:v>훈련장 근접판 엠버</x:v>
      </x:c>
      <x:c r="K217" s="16" t="str">
        <x:v>낫이 원을 그린다. 궤적이 화면을 세로로 가른다</x:v>
      </x:c>
      <x:c r="L217" s="16" t="str"/>
      <x:c r="M217" s="16" t="str"/>
      <x:c r="N217" s="16" t="str">
        <x:v>3,954px · 여백 좁</x:v>
      </x:c>
      <x:c r="O217" s="16" t="str">
        <x:v>A scythe carving a full circle. The amber trail splits the frame vertically. The radius is clearly visible.</x:v>
      </x:c>
      <x:c r="P217" s="16" t="n">
        <x:v>2816</x:v>
      </x:c>
      <x:c r="Q217" s="16" t="str">
        <x:v>SOURCE</x:v>
      </x:c>
    </x:row>
    <x:row r="218" ht="66" customHeight="1">
      <x:c r="A218" s="16" t="str">
        <x:v>B236-238</x:v>
      </x:c>
      <x:c r="B218" s="16" t="str">
        <x:v>236</x:v>
      </x:c>
      <x:c r="C218" s="16" t="str">
        <x:v>238</x:v>
      </x:c>
      <x:c r="D218" s="16" t="n">
        <x:v>3</x:v>
      </x:c>
      <x:c r="E218" s="16" t="str">
        <x:v>EP01-S14</x:v>
      </x:c>
      <x:c r="F218" s="16" t="str">
        <x:v>13절 끊는 법</x:v>
      </x:c>
      <x:c r="G218" s="16" t="str">
        <x:v>극세로 블리드</x:v>
      </x:c>
      <x:c r="H218" s="16" t="str">
        <x:v>⭐🔴</x:v>
      </x:c>
      <x:c r="I218" s="16" t="str">
        <x:v>07-2-3</x:v>
      </x:c>
      <x:c r="J218" s="16" t="str">
        <x:v>훈련장 근접판 엠버</x:v>
      </x:c>
      <x:c r="K218" s="16" t="str">
        <x:v>① 원의 가장 바깥, 끝자락이 정확히 이음매에 걸린다 ② 당긴다 ③ 관절이 뜯겨 나간다</x:v>
      </x:c>
      <x:c r="L218" s="16" t="str">
        <x:v>대사·SFX: 걸었다… 스위트 스폿! / 콰드득—!!</x:v>
      </x:c>
      <x:c r="M218" s="16" t="str">
        <x:v>걸었다… 스위트 스폿! / 콰드득—!!</x:v>
      </x:c>
      <x:c r="N218" s="16" t="str">
        <x:v>3,900px · 여백 중</x:v>
      </x:c>
      <x:c r="O218" s="16" t="str">
        <x:v>ONE TALL PANEL, three moments top to bottom: the outer tip of the scythe catching exactly on a joint, the shaft being pulled, the joint tearing away. Do not break this into separate panels.</x:v>
      </x:c>
      <x:c r="P218" s="16" t="n">
        <x:v>2828</x:v>
      </x:c>
      <x:c r="Q218" s="16" t="str">
        <x:v>SOURCE_SPLIT</x:v>
      </x:c>
    </x:row>
    <x:row r="219" ht="66" customHeight="1">
      <x:c r="A219" s="16" t="str">
        <x:v>B239-239</x:v>
      </x:c>
      <x:c r="B219" s="16" t="str">
        <x:v>239</x:v>
      </x:c>
      <x:c r="C219" s="16" t="str">
        <x:v>239</x:v>
      </x:c>
      <x:c r="D219" s="16" t="n">
        <x:v>1</x:v>
      </x:c>
      <x:c r="E219" s="16" t="str">
        <x:v>EP01-S14</x:v>
      </x:c>
      <x:c r="F219" s="16" t="str">
        <x:v>13절 끊는 법</x:v>
      </x:c>
      <x:c r="G219" s="16" t="str">
        <x:v>WIDE</x:v>
      </x:c>
      <x:c r="H219" s="16" t="str"/>
      <x:c r="I219" s="16" t="str">
        <x:v>07-2</x:v>
      </x:c>
      <x:c r="J219" s="16" t="str">
        <x:v>훈련장 엠버</x:v>
      </x:c>
      <x:c r="K219" s="16" t="str">
        <x:v>뜯긴 팔이 바닥에 떨어진다</x:v>
      </x:c>
      <x:c r="L219" s="16" t="str"/>
      <x:c r="M219" s="16" t="str">
        <x:v>쿵</x:v>
      </x:c>
      <x:c r="N219" s="16" t="str">
        <x:v>1,100px · 여백 중</x:v>
      </x:c>
      <x:c r="O219" s="16" t="str">
        <x:v>A torn-off arm hitting the concrete floor.</x:v>
      </x:c>
      <x:c r="P219" s="16" t="n">
        <x:v>2841</x:v>
      </x:c>
      <x:c r="Q219" s="16" t="str">
        <x:v>SOURCE</x:v>
      </x:c>
    </x:row>
    <x:row r="220" ht="66" customHeight="1">
      <x:c r="A220" s="16" t="str">
        <x:v>B240-242</x:v>
      </x:c>
      <x:c r="B220" s="16" t="str">
        <x:v>240</x:v>
      </x:c>
      <x:c r="C220" s="16" t="str">
        <x:v>242</x:v>
      </x:c>
      <x:c r="D220" s="16" t="n">
        <x:v>3</x:v>
      </x:c>
      <x:c r="E220" s="16" t="str">
        <x:v>EP01-S14</x:v>
      </x:c>
      <x:c r="F220" s="16" t="str">
        <x:v>13절 끊는 법</x:v>
      </x:c>
      <x:c r="G220" s="16" t="str">
        <x:v>극세로</x:v>
      </x:c>
      <x:c r="H220" s="16" t="str">
        <x:v>⭐</x:v>
      </x:c>
      <x:c r="I220" s="16" t="str">
        <x:v>07-2-3</x:v>
      </x:c>
      <x:c r="J220" s="16" t="str">
        <x:v>훈련장 근접판 엠버</x:v>
      </x:c>
      <x:c r="K220" s="16" t="str">
        <x:v>① 뜯겨 나간 단면 ② 무언가가 굴러떨어진다 ③ 엄지손톱만 한 주황색 결정</x:v>
      </x:c>
      <x:c r="L220" s="16" t="str"/>
      <x:c r="M220" s="16" t="str"/>
      <x:c r="N220" s="16" t="str">
        <x:v>2,400px · 여백 중</x:v>
      </x:c>
      <x:c r="O220" s="16" t="str">
        <x:v>Three moments: a torn joint cross-section, something rolling out, a thumbnail-sized amber crystal.</x:v>
      </x:c>
      <x:c r="P220" s="16" t="n">
        <x:v>2854</x:v>
      </x:c>
      <x:c r="Q220" s="16" t="str">
        <x:v>SOURCE_SPLIT</x:v>
      </x:c>
    </x:row>
    <x:row r="221" ht="66" customHeight="1">
      <x:c r="A221" s="16" t="str">
        <x:v>B243-244</x:v>
      </x:c>
      <x:c r="B221" s="16" t="str">
        <x:v>243</x:v>
      </x:c>
      <x:c r="C221" s="16" t="str">
        <x:v>244</x:v>
      </x:c>
      <x:c r="D221" s="16" t="n">
        <x:v>2</x:v>
      </x:c>
      <x:c r="E221" s="16" t="str">
        <x:v>EP01-S14</x:v>
      </x:c>
      <x:c r="F221" s="16" t="str">
        <x:v>13절 끊는 법</x:v>
      </x:c>
      <x:c r="G221" s="16" t="str">
        <x:v>ECU</x:v>
      </x:c>
      <x:c r="H221" s="16" t="str"/>
      <x:c r="I221" s="16" t="str">
        <x:v>07-2-3</x:v>
      </x:c>
      <x:c r="J221" s="16" t="str">
        <x:v>훈련장 근접판 엠버</x:v>
      </x:c>
      <x:c r="K221" s="16" t="str">
        <x:v>낫 끝으로 툭 건드려 손바닥에 받는다. 아직 따뜻하다</x:v>
      </x:c>
      <x:c r="L221" s="16" t="str">
        <x:v>나레이션: 아직 따뜻했고, 손안에서 희미하게 뛰고 있었다.</x:v>
      </x:c>
      <x:c r="M221" s="16" t="str"/>
      <x:c r="N221" s="16" t="str">
        <x:v>1,200px · 여백 중</x:v>
      </x:c>
      <x:c r="O221" s="16" t="str">
        <x:v>A scythe tip nudging a crystal into an open palm. It still pulses faintly.</x:v>
      </x:c>
      <x:c r="P221" s="16" t="n">
        <x:v>2866</x:v>
      </x:c>
      <x:c r="Q221" s="16" t="str">
        <x:v>EDITORIAL_SPLIT</x:v>
      </x:c>
    </x:row>
    <x:row r="222" ht="66" customHeight="1">
      <x:c r="A222" s="16" t="str">
        <x:v>B245-245</x:v>
      </x:c>
      <x:c r="B222" s="16" t="str">
        <x:v>245</x:v>
      </x:c>
      <x:c r="C222" s="16" t="str">
        <x:v>245</x:v>
      </x:c>
      <x:c r="D222" s="16" t="n">
        <x:v>1</x:v>
      </x:c>
      <x:c r="E222" s="16" t="str">
        <x:v>EP01-S14</x:v>
      </x:c>
      <x:c r="F222" s="16" t="str">
        <x:v>13절 끊는 법</x:v>
      </x:c>
      <x:c r="G222" s="16" t="str">
        <x:v>ECU 세로 2단</x:v>
      </x:c>
      <x:c r="H222" s="16" t="str">
        <x:v>⭐🔒</x:v>
      </x:c>
      <x:c r="I222" s="16" t="str">
        <x:v>07-2-3</x:v>
      </x:c>
      <x:c r="J222" s="16" t="str">
        <x:v>훈련장 근접판 엠버</x:v>
      </x:c>
      <x:c r="K222" s="16" t="str">
        <x:v>위: 손바닥의 결정 / 아래: 목덜미 코어. 같은 색, 같은 박자</x:v>
      </x:c>
      <x:c r="L222" s="16" t="str"/>
      <x:c r="M222" s="16" t="str"/>
      <x:c r="N222" s="16" t="str">
        <x:v>2,600px · 여백 중</x:v>
      </x:c>
      <x:c r="O222" s="16" t="str">
        <x:v>TWO STACKED PANELS, identical to cut 015. Top: an amber crystal in a palm. Bottom: the amber core at a nape. Same color, same pulse.</x:v>
      </x:c>
      <x:c r="P222" s="16" t="n">
        <x:v>2879</x:v>
      </x:c>
      <x:c r="Q222" s="16" t="str">
        <x:v>SOURCE</x:v>
      </x:c>
    </x:row>
    <x:row r="223" ht="66" customHeight="1">
      <x:c r="A223" s="16" t="str">
        <x:v>B246-247</x:v>
      </x:c>
      <x:c r="B223" s="16" t="str">
        <x:v>246</x:v>
      </x:c>
      <x:c r="C223" s="16" t="str">
        <x:v>247</x:v>
      </x:c>
      <x:c r="D223" s="16" t="n">
        <x:v>2</x:v>
      </x:c>
      <x:c r="E223" s="16" t="str">
        <x:v>EP01-S14</x:v>
      </x:c>
      <x:c r="F223" s="16" t="str">
        <x:v>13절 끊는 법</x:v>
      </x:c>
      <x:c r="G223" s="16" t="str">
        <x:v>CU</x:v>
      </x:c>
      <x:c r="H223" s="16" t="str">
        <x:v>🎣</x:v>
      </x:c>
      <x:c r="I223" s="16" t="str">
        <x:v>07-2-3</x:v>
      </x:c>
      <x:c r="J223" s="16" t="str">
        <x:v>훈련장 근접판 엠버</x:v>
      </x:c>
      <x:c r="K223" s="16" t="str">
        <x:v>그것을 들여다본다</x:v>
      </x:c>
      <x:c r="L223" s="16" t="str">
        <x:v>대사 · 아인: 「…부위를 부숴야만 나오는 거였나.」</x:v>
      </x:c>
      <x:c r="M223" s="16" t="str"/>
      <x:c r="N223" s="16" t="str">
        <x:v>1,100px · 여백 중</x:v>
      </x:c>
      <x:c r="O223" s="16" t="str">
        <x:v>A woman looking down at the crystal in her palm.</x:v>
      </x:c>
      <x:c r="P223" s="16" t="n">
        <x:v>2891</x:v>
      </x:c>
      <x:c r="Q223" s="16" t="str">
        <x:v>EDITORIAL_REVIEW</x:v>
      </x:c>
    </x:row>
    <x:row r="224" ht="66" customHeight="1">
      <x:c r="A224" s="16" t="str">
        <x:v>B248-249</x:v>
      </x:c>
      <x:c r="B224" s="16" t="str">
        <x:v>248</x:v>
      </x:c>
      <x:c r="C224" s="16" t="str">
        <x:v>249</x:v>
      </x:c>
      <x:c r="D224" s="16" t="n">
        <x:v>2</x:v>
      </x:c>
      <x:c r="E224" s="16" t="str">
        <x:v>EP01-S14</x:v>
      </x:c>
      <x:c r="F224" s="16" t="str">
        <x:v>13절 끊는 법</x:v>
      </x:c>
      <x:c r="G224" s="16" t="str">
        <x:v>MS</x:v>
      </x:c>
      <x:c r="H224" s="16" t="str"/>
      <x:c r="I224" s="16" t="str">
        <x:v>07-2</x:v>
      </x:c>
      <x:c r="J224" s="16" t="str">
        <x:v>훈련장 엠버</x:v>
      </x:c>
      <x:c r="K224" s="16" t="str">
        <x:v>주머니에 넣는다 → 놈이 무너진다</x:v>
      </x:c>
      <x:c r="L224" s="16" t="str"/>
      <x:c r="M224" s="16" t="str">
        <x:v>쿠웅</x:v>
      </x:c>
      <x:c r="N224" s="16" t="str">
        <x:v>1,200px · 여백 중</x:v>
      </x:c>
      <x:c r="O224" s="16" t="str">
        <x:v>A crystal pocketed. Behind her, the construct collapses.</x:v>
      </x:c>
      <x:c r="P224" s="16" t="n">
        <x:v>2904</x:v>
      </x:c>
      <x:c r="Q224" s="16" t="str">
        <x:v>SOURCE_SPLIT</x:v>
      </x:c>
    </x:row>
    <x:row r="225" ht="66" customHeight="1">
      <x:c r="A225" s="16" t="str">
        <x:v>B250-250</x:v>
      </x:c>
      <x:c r="B225" s="16" t="str">
        <x:v>250</x:v>
      </x:c>
      <x:c r="C225" s="16" t="str">
        <x:v>250</x:v>
      </x:c>
      <x:c r="D225" s="16" t="n">
        <x:v>1</x:v>
      </x:c>
      <x:c r="E225" s="16" t="str">
        <x:v>EP01-S14</x:v>
      </x:c>
      <x:c r="F225" s="16" t="str">
        <x:v>13절 끊는 법</x:v>
      </x:c>
      <x:c r="G225" s="16" t="str">
        <x:v>EWIDE</x:v>
      </x:c>
      <x:c r="H225" s="16" t="str">
        <x:v>🎭</x:v>
      </x:c>
      <x:c r="I225" s="16" t="str">
        <x:v>07-2</x:v>
      </x:c>
      <x:c r="J225" s="16" t="str">
        <x:v>훈련장 엠버</x:v>
      </x:c>
      <x:c r="K225" s="16" t="str">
        <x:v>짚단 잔해. 조용해진 훈련장</x:v>
      </x:c>
      <x:c r="L225" s="16" t="str">
        <x:v>나레이션: 왜 하필 그렇게 되어 있는지는, 아직 아무도 묻지 않았다.</x:v>
      </x:c>
      <x:c r="M225" s="16" t="str"/>
      <x:c r="N225" s="16" t="str">
        <x:v>1,400px · 여백 극</x:v>
      </x:c>
      <x:c r="O225" s="16" t="str">
        <x:v>Wide view of a training hall gone quiet. Straw debris everywhere.</x:v>
      </x:c>
      <x:c r="P225" s="16" t="n">
        <x:v>2917</x:v>
      </x:c>
      <x:c r="Q225" s="16" t="str">
        <x:v>SOURCE</x:v>
      </x:c>
    </x:row>
    <x:row r="226" ht="66" customHeight="1">
      <x:c r="A226" s="16" t="str">
        <x:v>B251-251</x:v>
      </x:c>
      <x:c r="B226" s="16" t="str">
        <x:v>251</x:v>
      </x:c>
      <x:c r="C226" s="16" t="str">
        <x:v>251</x:v>
      </x:c>
      <x:c r="D226" s="16" t="n">
        <x:v>1</x:v>
      </x:c>
      <x:c r="E226" s="16" t="str">
        <x:v>EP01-S15</x:v>
      </x:c>
      <x:c r="F226" s="16" t="str">
        <x:v>14절 손실</x:v>
      </x:c>
      <x:c r="G226" s="16" t="str">
        <x:v>MS</x:v>
      </x:c>
      <x:c r="H226" s="16" t="str"/>
      <x:c r="I226" s="16" t="str">
        <x:v>07-2-2</x:v>
      </x:c>
      <x:c r="J226" s="16" t="str">
        <x:v>관측창</x:v>
      </x:c>
      <x:c r="K226" s="16" t="str">
        <x:v>관측창 문이 박차고 열린다</x:v>
      </x:c>
      <x:c r="L226" s="16" t="str"/>
      <x:c r="M226" s="16" t="str">
        <x:v>쾅</x:v>
      </x:c>
      <x:c r="N226" s="16" t="str">
        <x:v>430px · 여백 좁</x:v>
      </x:c>
      <x:c r="O226" s="16" t="str">
        <x:v>An observation room door kicked open.</x:v>
      </x:c>
      <x:c r="P226" s="16" t="n">
        <x:v>2936</x:v>
      </x:c>
      <x:c r="Q226" s="16" t="str">
        <x:v>SOURCE</x:v>
      </x:c>
    </x:row>
    <x:row r="227" ht="66" customHeight="1">
      <x:c r="A227" s="16" t="str">
        <x:v>B252-253</x:v>
      </x:c>
      <x:c r="B227" s="16" t="str">
        <x:v>252</x:v>
      </x:c>
      <x:c r="C227" s="16" t="str">
        <x:v>253</x:v>
      </x:c>
      <x:c r="D227" s="16" t="n">
        <x:v>2</x:v>
      </x:c>
      <x:c r="E227" s="16" t="str">
        <x:v>EP01-S15</x:v>
      </x:c>
      <x:c r="F227" s="16" t="str">
        <x:v>14절 손실</x:v>
      </x:c>
      <x:c r="G227" s="16" t="str">
        <x:v>MS 마태오</x:v>
      </x:c>
      <x:c r="H227" s="16" t="str"/>
      <x:c r="I227" s="16" t="str">
        <x:v>06-1-3</x:v>
      </x:c>
      <x:c r="J227" s="16" t="str">
        <x:v>사무소 근접판</x:v>
      </x:c>
      <x:c r="K227" s="16" t="str">
        <x:v>걸어 들어온다. 담배는 여전히 불이 없다</x:v>
      </x:c>
      <x:c r="L227" s="16" t="str">
        <x:v>대사 · 마태오: 「…합격이다. 신입들. 아니— 용병단.」</x:v>
      </x:c>
      <x:c r="M227" s="16" t="str"/>
      <x:c r="N227" s="16" t="str">
        <x:v>430px · 여백 중</x:v>
      </x:c>
      <x:c r="O227" s="16" t="str">
        <x:v>An older man walking in, unlit cigarette still in his mouth.</x:v>
      </x:c>
      <x:c r="P227" s="16" t="n">
        <x:v>2949</x:v>
      </x:c>
      <x:c r="Q227" s="16" t="str">
        <x:v>EDITORIAL_SPLIT</x:v>
      </x:c>
    </x:row>
    <x:row r="228" ht="66" customHeight="1">
      <x:c r="A228" s="16" t="str">
        <x:v>B254-254</x:v>
      </x:c>
      <x:c r="B228" s="16" t="str">
        <x:v>254</x:v>
      </x:c>
      <x:c r="C228" s="16" t="str">
        <x:v>254</x:v>
      </x:c>
      <x:c r="D228" s="16" t="n">
        <x:v>1</x:v>
      </x:c>
      <x:c r="E228" s="16" t="str">
        <x:v>EP01-S15</x:v>
      </x:c>
      <x:c r="F228" s="16" t="str">
        <x:v>14절 손실</x:v>
      </x:c>
      <x:c r="G228" s="16" t="str">
        <x:v>MS</x:v>
      </x:c>
      <x:c r="H228" s="16" t="str"/>
      <x:c r="I228" s="16" t="str">
        <x:v>07-2-2</x:v>
      </x:c>
      <x:c r="J228" s="16" t="str">
        <x:v>관측창</x:v>
      </x:c>
      <x:c r="K228" s="16" t="str">
        <x:v>짚단 잔해를 내려다본다</x:v>
      </x:c>
      <x:c r="L228" s="16" t="str"/>
      <x:c r="M228" s="16" t="str"/>
      <x:c r="N228" s="16" t="str">
        <x:v>430px · 여백 중</x:v>
      </x:c>
      <x:c r="O228" s="16" t="str">
        <x:v>An older man looking down at the debris.</x:v>
      </x:c>
      <x:c r="P228" s="16" t="n">
        <x:v>2962</x:v>
      </x:c>
      <x:c r="Q228" s="16" t="str">
        <x:v>SOURCE</x:v>
      </x:c>
    </x:row>
    <x:row r="229" ht="66" customHeight="1">
      <x:c r="A229" s="16" t="str">
        <x:v>B255-255</x:v>
      </x:c>
      <x:c r="B229" s="16" t="str">
        <x:v>255</x:v>
      </x:c>
      <x:c r="C229" s="16" t="str">
        <x:v>255</x:v>
      </x:c>
      <x:c r="D229" s="16" t="n">
        <x:v>1</x:v>
      </x:c>
      <x:c r="E229" s="16" t="str">
        <x:v>EP01-S15</x:v>
      </x:c>
      <x:c r="F229" s="16" t="str">
        <x:v>14절 손실</x:v>
      </x:c>
      <x:c r="G229" s="16" t="str">
        <x:v>CU</x:v>
      </x:c>
      <x:c r="H229" s="16" t="str">
        <x:v>⭐🤫</x:v>
      </x:c>
      <x:c r="I229" s="16" t="str">
        <x:v>07-2-2</x:v>
      </x:c>
      <x:c r="J229" s="16" t="str">
        <x:v>관측창</x:v>
      </x:c>
      <x:c r="K229" s="16" t="str">
        <x:v>표정이 서서히 바뀐다</x:v>
      </x:c>
      <x:c r="L229" s="16" t="str"/>
      <x:c r="M229" s="16" t="str"/>
      <x:c r="N229" s="16" t="str">
        <x:v>430px · 여백 넓</x:v>
      </x:c>
      <x:c r="O229" s="16" t="str">
        <x:v>An older man's expression slowly changing. Do not name the emotion.</x:v>
      </x:c>
      <x:c r="P229" s="16" t="n">
        <x:v>2974</x:v>
      </x:c>
      <x:c r="Q229" s="16" t="str">
        <x:v>SOURCE</x:v>
      </x:c>
    </x:row>
    <x:row r="230" ht="66" customHeight="1">
      <x:c r="A230" s="16" t="str">
        <x:v>B256-256</x:v>
      </x:c>
      <x:c r="B230" s="16" t="str">
        <x:v>256</x:v>
      </x:c>
      <x:c r="C230" s="16" t="str">
        <x:v>256</x:v>
      </x:c>
      <x:c r="D230" s="16" t="n">
        <x:v>1</x:v>
      </x:c>
      <x:c r="E230" s="16" t="str">
        <x:v>EP01-S15</x:v>
      </x:c>
      <x:c r="F230" s="16" t="str">
        <x:v>14절 손실</x:v>
      </x:c>
      <x:c r="G230" s="16" t="str">
        <x:v>MS 마태오</x:v>
      </x:c>
      <x:c r="H230" s="16" t="str"/>
      <x:c r="I230" s="16" t="str">
        <x:v>06-1-3</x:v>
      </x:c>
      <x:c r="J230" s="16" t="str">
        <x:v>사무소 근접판</x:v>
      </x:c>
      <x:c r="K230" s="16" t="str">
        <x:v>돌아서며</x:v>
      </x:c>
      <x:c r="L230" s="16" t="str">
        <x:v>대사 · 마태오: 「…그건 그렇고. 저 훈련용 허수아비, 30만 원짜리다. 첫 의뢰비에서 깐다.」</x:v>
      </x:c>
      <x:c r="M230" s="16" t="str"/>
      <x:c r="N230" s="16" t="str">
        <x:v>430px · 여백 중</x:v>
      </x:c>
      <x:c r="O230" s="16" t="str">
        <x:v>An older man turning away as he speaks.</x:v>
      </x:c>
      <x:c r="P230" s="16" t="n">
        <x:v>2986</x:v>
      </x:c>
      <x:c r="Q230" s="16" t="str">
        <x:v>SOURCE</x:v>
      </x:c>
    </x:row>
    <x:row r="231" ht="66" customHeight="1">
      <x:c r="A231" s="16" t="str">
        <x:v>B257-257</x:v>
      </x:c>
      <x:c r="B231" s="16" t="str">
        <x:v>257</x:v>
      </x:c>
      <x:c r="C231" s="16" t="str">
        <x:v>257</x:v>
      </x:c>
      <x:c r="D231" s="16" t="n">
        <x:v>1</x:v>
      </x:c>
      <x:c r="E231" s="16" t="str">
        <x:v>EP01-S15</x:v>
      </x:c>
      <x:c r="F231" s="16" t="str">
        <x:v>14절 손실</x:v>
      </x:c>
      <x:c r="G231" s="16" t="str">
        <x:v>WIDE</x:v>
      </x:c>
      <x:c r="H231" s="16" t="str"/>
      <x:c r="I231" s="16" t="str">
        <x:v>07-2-2</x:v>
      </x:c>
      <x:c r="J231" s="16" t="str">
        <x:v>관측창</x:v>
      </x:c>
      <x:c r="K231" s="16" t="str">
        <x:v>그 말만 하고 나간다</x:v>
      </x:c>
      <x:c r="L231" s="16" t="str"/>
      <x:c r="M231" s="16" t="str"/>
      <x:c r="N231" s="16" t="str">
        <x:v>470px · 여백 넓</x:v>
      </x:c>
      <x:c r="O231" s="16" t="str">
        <x:v>An older man leaving. Only his back.</x:v>
      </x:c>
      <x:c r="P231" s="16" t="n">
        <x:v>2999</x:v>
      </x:c>
      <x:c r="Q231" s="16" t="str">
        <x:v>SOURCE</x:v>
      </x:c>
    </x:row>
    <x:row r="232" ht="66" customHeight="1">
      <x:c r="A232" s="16" t="str">
        <x:v>B258-258</x:v>
      </x:c>
      <x:c r="B232" s="16" t="str">
        <x:v>258</x:v>
      </x:c>
      <x:c r="C232" s="16" t="str">
        <x:v>258</x:v>
      </x:c>
      <x:c r="D232" s="16" t="n">
        <x:v>1</x:v>
      </x:c>
      <x:c r="E232" s="16" t="str">
        <x:v>EP01-S15</x:v>
      </x:c>
      <x:c r="F232" s="16" t="str">
        <x:v>14절 손실</x:v>
      </x:c>
      <x:c r="G232" s="16" t="str">
        <x:v>CU 카인</x:v>
      </x:c>
      <x:c r="H232" s="16" t="str">
        <x:v>🎭</x:v>
      </x:c>
      <x:c r="I232" s="16" t="str">
        <x:v>06-1-3</x:v>
      </x:c>
      <x:c r="J232" s="16" t="str">
        <x:v>사무소 근접판</x:v>
      </x:c>
      <x:c r="K232" s="16" t="str">
        <x:v>입을 반쯤 벌린 채 그 등을 본다</x:v>
      </x:c>
      <x:c r="L232" s="16" t="str">
        <x:v>대사 · 카인: 「…아니, 저게 갑자기 괴물이 된 게.」</x:v>
      </x:c>
      <x:c r="M232" s="16" t="str"/>
      <x:c r="N232" s="16" t="str">
        <x:v>400px · 여백 좁</x:v>
      </x:c>
      <x:c r="O232" s="16" t="str">
        <x:v>A large man watching a retreating back, mouth half open.</x:v>
      </x:c>
      <x:c r="P232" s="16" t="n">
        <x:v>3011</x:v>
      </x:c>
      <x:c r="Q232" s="16" t="str">
        <x:v>SOURCE</x:v>
      </x:c>
    </x:row>
    <x:row r="233" ht="66" customHeight="1">
      <x:c r="A233" s="16" t="str">
        <x:v>B259-259</x:v>
      </x:c>
      <x:c r="B233" s="16" t="str">
        <x:v>259</x:v>
      </x:c>
      <x:c r="C233" s="16" t="str">
        <x:v>259</x:v>
      </x:c>
      <x:c r="D233" s="16" t="n">
        <x:v>1</x:v>
      </x:c>
      <x:c r="E233" s="16" t="str">
        <x:v>EP01-S15</x:v>
      </x:c>
      <x:c r="F233" s="16" t="str">
        <x:v>14절 손실</x:v>
      </x:c>
      <x:c r="G233" s="16" t="str">
        <x:v>WIDE</x:v>
      </x:c>
      <x:c r="H233" s="16" t="str">
        <x:v>🤫🎭</x:v>
      </x:c>
      <x:c r="I233" s="16" t="str">
        <x:v>06-1-3</x:v>
      </x:c>
      <x:c r="J233" s="16" t="str">
        <x:v>사무소 근접판</x:v>
      </x:c>
      <x:c r="K233" s="16" t="str">
        <x:v>아무도 듣지 않는다. 카인 혼자, 빈 공간</x:v>
      </x:c>
      <x:c r="L233" s="16" t="str">
        <x:v>대사 · 카인: 「…내 탓입니까?」</x:v>
      </x:c>
      <x:c r="M233" s="16" t="str"/>
      <x:c r="N233" s="16" t="str">
        <x:v>470px · 여백 극</x:v>
      </x:c>
      <x:c r="O233" s="16" t="str">
        <x:v>A lone large man in a mostly empty frame. Nobody is listening.</x:v>
      </x:c>
      <x:c r="P233" s="16" t="n">
        <x:v>3024</x:v>
      </x:c>
      <x:c r="Q233" s="16" t="str">
        <x:v>SOURCE</x:v>
      </x:c>
    </x:row>
    <x:row r="234" ht="66" customHeight="1">
      <x:c r="A234" s="16" t="str">
        <x:v>B260-260</x:v>
      </x:c>
      <x:c r="B234" s="16" t="str">
        <x:v>260</x:v>
      </x:c>
      <x:c r="C234" s="16" t="str">
        <x:v>260</x:v>
      </x:c>
      <x:c r="D234" s="16" t="n">
        <x:v>1</x:v>
      </x:c>
      <x:c r="E234" s="16" t="str">
        <x:v>EP01-S15</x:v>
      </x:c>
      <x:c r="F234" s="16" t="str">
        <x:v>14절 손실</x:v>
      </x:c>
      <x:c r="G234" s="16" t="str">
        <x:v>WIDE</x:v>
      </x:c>
      <x:c r="H234" s="16" t="str">
        <x:v>🤫🎭</x:v>
      </x:c>
      <x:c r="I234" s="16" t="str">
        <x:v>06-1-3</x:v>
      </x:c>
      <x:c r="J234" s="16" t="str">
        <x:v>사무소 근접판</x:v>
      </x:c>
      <x:c r="K234" s="16" t="str">
        <x:v>여전히 아무도 대답하지 않는다</x:v>
      </x:c>
      <x:c r="L234" s="16" t="str">
        <x:v>대사 · 카인: 「치라고 해서 친 건데.」</x:v>
      </x:c>
      <x:c r="M234" s="16" t="str"/>
      <x:c r="N234" s="16" t="str">
        <x:v>470px · 여백 극</x:v>
      </x:c>
      <x:c r="O234" s="16" t="str">
        <x:v>The same lone figure. Still no answer.</x:v>
      </x:c>
      <x:c r="P234" s="16" t="n">
        <x:v>3037</x:v>
      </x:c>
      <x:c r="Q234" s="16" t="str">
        <x:v>SOURCE</x:v>
      </x:c>
    </x:row>
    <x:row r="235" ht="66" customHeight="1">
      <x:c r="A235" s="16" t="str">
        <x:v>B261-261</x:v>
      </x:c>
      <x:c r="B235" s="16" t="str">
        <x:v>261</x:v>
      </x:c>
      <x:c r="C235" s="16" t="str">
        <x:v>261</x:v>
      </x:c>
      <x:c r="D235" s="16" t="n">
        <x:v>1</x:v>
      </x:c>
      <x:c r="E235" s="16" t="str">
        <x:v>EP01-S15</x:v>
      </x:c>
      <x:c r="F235" s="16" t="str">
        <x:v>14절 손실</x:v>
      </x:c>
      <x:c r="G235" s="16" t="str">
        <x:v>MS</x:v>
      </x:c>
      <x:c r="H235" s="16" t="str"/>
      <x:c r="I235" s="16" t="str">
        <x:v>06-1</x:v>
      </x:c>
      <x:c r="J235" s="16" t="str">
        <x:v>사무소</x:v>
      </x:c>
      <x:c r="K235" s="16" t="str">
        <x:v>사무소. 마태오가 책상 앞에 앉는다</x:v>
      </x:c>
      <x:c r="L235" s="16" t="str"/>
      <x:c r="M235" s="16" t="str"/>
      <x:c r="N235" s="16" t="str">
        <x:v>430px · 여백 좁</x:v>
      </x:c>
      <x:c r="O235" s="16" t="str">
        <x:v>An older man sitting down at an office desk.</x:v>
      </x:c>
      <x:c r="P235" s="16" t="n">
        <x:v>3050</x:v>
      </x:c>
      <x:c r="Q235" s="16" t="str">
        <x:v>SOURCE</x:v>
      </x:c>
    </x:row>
    <x:row r="236" ht="66" customHeight="1">
      <x:c r="A236" s="16" t="str">
        <x:v>B262-262</x:v>
      </x:c>
      <x:c r="B236" s="16" t="str">
        <x:v>262</x:v>
      </x:c>
      <x:c r="C236" s="16" t="str">
        <x:v>262</x:v>
      </x:c>
      <x:c r="D236" s="16" t="n">
        <x:v>1</x:v>
      </x:c>
      <x:c r="E236" s="16" t="str">
        <x:v>EP01-S15</x:v>
      </x:c>
      <x:c r="F236" s="16" t="str">
        <x:v>14절 손실</x:v>
      </x:c>
      <x:c r="G236" s="16" t="str">
        <x:v>인서트</x:v>
      </x:c>
      <x:c r="H236" s="16" t="str"/>
      <x:c r="I236" s="16" t="str">
        <x:v>06-1-1</x:v>
      </x:c>
      <x:c r="J236" s="16" t="str">
        <x:v>책상 부감</x:v>
      </x:c>
      <x:c r="K236" s="16" t="str">
        <x:v>낡은 서류철을 편다</x:v>
      </x:c>
      <x:c r="L236" s="16" t="str"/>
      <x:c r="M236" s="16" t="str"/>
      <x:c r="N236" s="16" t="str">
        <x:v>400px · 여백 좁</x:v>
      </x:c>
      <x:c r="O236" s="16" t="str">
        <x:v>Top down. A worn ledger being opened.</x:v>
      </x:c>
      <x:c r="P236" s="16" t="n">
        <x:v>3062</x:v>
      </x:c>
      <x:c r="Q236" s="16" t="str">
        <x:v>SOURCE</x:v>
      </x:c>
    </x:row>
    <x:row r="237" ht="66" customHeight="1">
      <x:c r="A237" s="16" t="str">
        <x:v>B263-263</x:v>
      </x:c>
      <x:c r="B237" s="16" t="str">
        <x:v>263</x:v>
      </x:c>
      <x:c r="C237" s="16" t="str">
        <x:v>263</x:v>
      </x:c>
      <x:c r="D237" s="16" t="n">
        <x:v>1</x:v>
      </x:c>
      <x:c r="E237" s="16" t="str">
        <x:v>EP01-S15</x:v>
      </x:c>
      <x:c r="F237" s="16" t="str">
        <x:v>14절 손실</x:v>
      </x:c>
      <x:c r="G237" s="16" t="str">
        <x:v>ECU</x:v>
      </x:c>
      <x:c r="H237" s="16" t="str">
        <x:v>🤫</x:v>
      </x:c>
      <x:c r="I237" s="16" t="str">
        <x:v>06-1-1</x:v>
      </x:c>
      <x:c r="J237" s="16" t="str">
        <x:v>책상 부감</x:v>
      </x:c>
      <x:c r="K237" s="16" t="str">
        <x:v>칸이 세로로 나뉘어 있다. 왼쪽 날짜, 가운데 항목, 오른쪽 금액</x:v>
      </x:c>
      <x:c r="L237" s="16" t="str"/>
      <x:c r="M237" s="16" t="str"/>
      <x:c r="N237" s="16" t="str">
        <x:v>400px · 여백 중</x:v>
      </x:c>
      <x:c r="O237" s="16" t="str">
        <x:v>Extreme close on ruled ledger columns: date, item, amount.</x:v>
      </x:c>
      <x:c r="P237" s="16" t="n">
        <x:v>3074</x:v>
      </x:c>
      <x:c r="Q237" s="16" t="str">
        <x:v>SOURCE</x:v>
      </x:c>
    </x:row>
    <x:row r="238" ht="66" customHeight="1">
      <x:c r="A238" s="16" t="str">
        <x:v>B264-264</x:v>
      </x:c>
      <x:c r="B238" s="16" t="str">
        <x:v>264</x:v>
      </x:c>
      <x:c r="C238" s="16" t="str">
        <x:v>264</x:v>
      </x:c>
      <x:c r="D238" s="16" t="n">
        <x:v>1</x:v>
      </x:c>
      <x:c r="E238" s="16" t="str">
        <x:v>EP01-S15</x:v>
      </x:c>
      <x:c r="F238" s="16" t="str">
        <x:v>14절 손실</x:v>
      </x:c>
      <x:c r="G238" s="16" t="str">
        <x:v>ECU</x:v>
      </x:c>
      <x:c r="H238" s="16" t="str"/>
      <x:c r="I238" s="16" t="str">
        <x:v>06-1-1</x:v>
      </x:c>
      <x:c r="J238" s="16" t="str">
        <x:v>책상 부감</x:v>
      </x:c>
      <x:c r="K238" s="16" t="str">
        <x:v>펜이 오늘 날짜를 적는다</x:v>
      </x:c>
      <x:c r="L238" s="16" t="str"/>
      <x:c r="M238" s="16" t="str"/>
      <x:c r="N238" s="16" t="str">
        <x:v>380px · 여백 좁</x:v>
      </x:c>
      <x:c r="O238" s="16" t="str">
        <x:v>A pen writing today's date.</x:v>
      </x:c>
      <x:c r="P238" s="16" t="n">
        <x:v>3086</x:v>
      </x:c>
      <x:c r="Q238" s="16" t="str">
        <x:v>SOURCE</x:v>
      </x:c>
    </x:row>
    <x:row r="239" ht="66" customHeight="1">
      <x:c r="A239" s="16" t="str">
        <x:v>B265-265</x:v>
      </x:c>
      <x:c r="B239" s="16" t="str">
        <x:v>265</x:v>
      </x:c>
      <x:c r="C239" s="16" t="str">
        <x:v>265</x:v>
      </x:c>
      <x:c r="D239" s="16" t="n">
        <x:v>1</x:v>
      </x:c>
      <x:c r="E239" s="16" t="str">
        <x:v>EP01-S15</x:v>
      </x:c>
      <x:c r="F239" s="16" t="str">
        <x:v>14절 손실</x:v>
      </x:c>
      <x:c r="G239" s="16" t="str">
        <x:v>ECU</x:v>
      </x:c>
      <x:c r="H239" s="16" t="str">
        <x:v>⭐🤫</x:v>
      </x:c>
      <x:c r="I239" s="16" t="str">
        <x:v>06-1-1</x:v>
      </x:c>
      <x:c r="J239" s="16" t="str">
        <x:v>책상 부감</x:v>
      </x:c>
      <x:c r="K239" s="16" t="str">
        <x:v>「훈련 기재 파손 — 300,000」</x:v>
      </x:c>
      <x:c r="L239" s="16" t="str"/>
      <x:c r="M239" s="16" t="str"/>
      <x:c r="N239" s="16" t="str">
        <x:v>400px · 여백 중</x:v>
      </x:c>
      <x:c r="O239" s="16" t="str">
        <x:v>A ledger line reading a Korean item name and an amount.</x:v>
      </x:c>
      <x:c r="P239" s="16" t="n">
        <x:v>3098</x:v>
      </x:c>
      <x:c r="Q239" s="16" t="str">
        <x:v>SOURCE</x:v>
      </x:c>
    </x:row>
    <x:row r="240" ht="66" customHeight="1">
      <x:c r="A240" s="16" t="str">
        <x:v>B266-266</x:v>
      </x:c>
      <x:c r="B240" s="16" t="str">
        <x:v>266</x:v>
      </x:c>
      <x:c r="C240" s="16" t="str">
        <x:v>266</x:v>
      </x:c>
      <x:c r="D240" s="16" t="n">
        <x:v>1</x:v>
      </x:c>
      <x:c r="E240" s="16" t="str">
        <x:v>EP01-S15</x:v>
      </x:c>
      <x:c r="F240" s="16" t="str">
        <x:v>14절 손실</x:v>
      </x:c>
      <x:c r="G240" s="16" t="str">
        <x:v>ECU</x:v>
      </x:c>
      <x:c r="H240" s="16" t="str">
        <x:v>⭐🤫🔴</x:v>
      </x:c>
      <x:c r="I240" s="16" t="str">
        <x:v>06-1-1</x:v>
      </x:c>
      <x:c r="J240" s="16" t="str">
        <x:v>책상 부감</x:v>
      </x:c>
      <x:c r="K240" s="16" t="str">
        <x:v>그 금액을 적은 칸의 이름 — 「손실」. 받을 사람 칸은 비어 있다</x:v>
      </x:c>
      <x:c r="L240" s="16" t="str"/>
      <x:c r="M240" s="16" t="str"/>
      <x:c r="N240" s="16" t="str">
        <x:v>430px · 여백 극</x:v>
      </x:c>
      <x:c r="O240" s="16" t="str">
        <x:v>Extreme close. The column header reads LOSS. The recipient column beside it is completely blank. Make the blank clearly visible.</x:v>
      </x:c>
      <x:c r="P240" s="16" t="n">
        <x:v>3110</x:v>
      </x:c>
      <x:c r="Q240" s="16" t="str">
        <x:v>SOURCE</x:v>
      </x:c>
    </x:row>
    <x:row r="241" ht="66" customHeight="1">
      <x:c r="A241" s="16" t="str">
        <x:v>B267-267</x:v>
      </x:c>
      <x:c r="B241" s="16" t="str">
        <x:v>267</x:v>
      </x:c>
      <x:c r="C241" s="16" t="str">
        <x:v>267</x:v>
      </x:c>
      <x:c r="D241" s="16" t="n">
        <x:v>1</x:v>
      </x:c>
      <x:c r="E241" s="16" t="str">
        <x:v>EP01-S15</x:v>
      </x:c>
      <x:c r="F241" s="16" t="str">
        <x:v>14절 손실</x:v>
      </x:c>
      <x:c r="G241" s="16" t="str">
        <x:v>MS</x:v>
      </x:c>
      <x:c r="H241" s="16" t="str">
        <x:v>🤫</x:v>
      </x:c>
      <x:c r="I241" s="16" t="str">
        <x:v>06-1-1</x:v>
      </x:c>
      <x:c r="J241" s="16" t="str">
        <x:v>책상 부감</x:v>
      </x:c>
      <x:c r="K241" s="16" t="str">
        <x:v>잠깐 내려다보다가 서류철을 덮고 서랍에 넣는다</x:v>
      </x:c>
      <x:c r="L241" s="16" t="str"/>
      <x:c r="M241" s="16" t="str">
        <x:v>탁</x:v>
      </x:c>
      <x:c r="N241" s="16" t="str">
        <x:v>400px · 여백 중</x:v>
      </x:c>
      <x:c r="O241" s="16" t="str">
        <x:v>An older man closing a ledger and putting it in a drawer.</x:v>
      </x:c>
      <x:c r="P241" s="16" t="n">
        <x:v>3122</x:v>
      </x:c>
      <x:c r="Q241" s="16" t="str">
        <x:v>SOURCE</x:v>
      </x:c>
    </x:row>
    <x:row r="242" ht="66" customHeight="1">
      <x:c r="A242" s="16" t="str">
        <x:v>B268-268</x:v>
      </x:c>
      <x:c r="B242" s="16" t="str">
        <x:v>268</x:v>
      </x:c>
      <x:c r="C242" s="16" t="str">
        <x:v>268</x:v>
      </x:c>
      <x:c r="D242" s="16" t="n">
        <x:v>1</x:v>
      </x:c>
      <x:c r="E242" s="16" t="str">
        <x:v>EP01-S15</x:v>
      </x:c>
      <x:c r="F242" s="16" t="str">
        <x:v>14절 손실</x:v>
      </x:c>
      <x:c r="G242" s="16" t="str">
        <x:v>부감</x:v>
      </x:c>
      <x:c r="H242" s="16" t="str">
        <x:v>🤫🔒🎭</x:v>
      </x:c>
      <x:c r="I242" s="16" t="str">
        <x:v>06-1-2</x:v>
      </x:c>
      <x:c r="J242" s="16" t="str">
        <x:v>사무소 서랍</x:v>
      </x:c>
      <x:c r="K242" s="16" t="str">
        <x:v>서랍 안. 같은 서류철이 여러 권. 2년치다</x:v>
      </x:c>
      <x:c r="L242" s="16" t="str"/>
      <x:c r="M242" s="16" t="str"/>
      <x:c r="N242" s="16" t="str">
        <x:v>470px · 여백 극</x:v>
      </x:c>
      <x:c r="O242" s="16" t="str">
        <x:v>Top down into an open drawer. Many identical worn ledgers. IDENTICAL FRAMING TO CUT 120.</x:v>
      </x:c>
      <x:c r="P242" s="16" t="n">
        <x:v>3135</x:v>
      </x:c>
      <x:c r="Q242" s="16" t="str">
        <x:v>SOURCE</x:v>
      </x:c>
    </x:row>
    <x:row r="243" ht="66" customHeight="1">
      <x:c r="A243" s="16" t="str">
        <x:v>B269-269</x:v>
      </x:c>
      <x:c r="B243" s="16" t="str">
        <x:v>269</x:v>
      </x:c>
      <x:c r="C243" s="16" t="str">
        <x:v>269</x:v>
      </x:c>
      <x:c r="D243" s="16" t="n">
        <x:v>1</x:v>
      </x:c>
      <x:c r="E243" s="16" t="str">
        <x:v>EP01-S16</x:v>
      </x:c>
      <x:c r="F243" s="16" t="str">
        <x:v>15절 출격</x:v>
      </x:c>
      <x:c r="G243" s="16" t="str">
        <x:v>세로 4단</x:v>
      </x:c>
      <x:c r="H243" s="16" t="str">
        <x:v>🔒</x:v>
      </x:c>
      <x:c r="I243" s="16" t="str">
        <x:v>08-1</x:v>
      </x:c>
      <x:c r="J243" s="16" t="str">
        <x:v>출격문</x:v>
      </x:c>
      <x:c r="K243" s="16" t="str">
        <x:v>① 문을 여는 기계 ② 올라가는 철문 ③ 밀려드는 붉은 안개 ④ 열린 틈</x:v>
      </x:c>
      <x:c r="L243" s="16" t="str"/>
      <x:c r="M243" s="16" t="str">
        <x:v>쿠우우웅—</x:v>
      </x:c>
      <x:c r="N243" s="16" t="str">
        <x:v>1,100px · 여백 극</x:v>
      </x:c>
      <x:c r="O243" s="16" t="str">
        <x:v>Four stacked panels: a gate mechanism engaging, a huge steel gate rising, red fog pouring in, the open gap. SAME FOUR-PANEL STRUCTURE AS CUT 071 but amber toned instead of sepia.</x:v>
      </x:c>
      <x:c r="P243" s="16" t="n">
        <x:v>3153</x:v>
      </x:c>
      <x:c r="Q243" s="16" t="str">
        <x:v>SOURCE</x:v>
      </x:c>
    </x:row>
    <x:row r="244" ht="66" customHeight="1">
      <x:c r="A244" s="16" t="str">
        <x:v>B270-270</x:v>
      </x:c>
      <x:c r="B244" s="16" t="str">
        <x:v>270</x:v>
      </x:c>
      <x:c r="C244" s="16" t="str">
        <x:v>270</x:v>
      </x:c>
      <x:c r="D244" s="16" t="n">
        <x:v>1</x:v>
      </x:c>
      <x:c r="E244" s="16" t="str">
        <x:v>EP01-S16</x:v>
      </x:c>
      <x:c r="F244" s="16" t="str">
        <x:v>15절 출격</x:v>
      </x:c>
      <x:c r="G244" s="16" t="str">
        <x:v>EWIDE</x:v>
      </x:c>
      <x:c r="H244" s="16" t="str"/>
      <x:c r="I244" s="16" t="str">
        <x:v>08-1</x:v>
      </x:c>
      <x:c r="J244" s="16" t="str">
        <x:v>출격문</x:v>
      </x:c>
      <x:c r="K244" s="16" t="str">
        <x:v>「강남역 지하상가 출격문」</x:v>
      </x:c>
      <x:c r="L244" s="16" t="str"/>
      <x:c r="M244" s="16" t="str"/>
      <x:c r="N244" s="16" t="str">
        <x:v>470px · 여백 중</x:v>
      </x:c>
      <x:c r="O244" s="16" t="str">
        <x:v>A huge sortie gate with a Korean place name marked above it.</x:v>
      </x:c>
      <x:c r="P244" s="16" t="n">
        <x:v>3166</x:v>
      </x:c>
      <x:c r="Q244" s="16" t="str">
        <x:v>SOURCE</x:v>
      </x:c>
    </x:row>
    <x:row r="245" ht="66" customHeight="1">
      <x:c r="A245" s="16" t="str">
        <x:v>B271-271</x:v>
      </x:c>
      <x:c r="B245" s="16" t="str">
        <x:v>271</x:v>
      </x:c>
      <x:c r="C245" s="16" t="str">
        <x:v>271</x:v>
      </x:c>
      <x:c r="D245" s="16" t="n">
        <x:v>1</x:v>
      </x:c>
      <x:c r="E245" s="16" t="str">
        <x:v>EP01-S16</x:v>
      </x:c>
      <x:c r="F245" s="16" t="str">
        <x:v>15절 출격</x:v>
      </x:c>
      <x:c r="G245" s="16" t="str">
        <x:v>MS</x:v>
      </x:c>
      <x:c r="H245" s="16" t="str"/>
      <x:c r="I245" s="16" t="str">
        <x:v>08-1-2</x:v>
      </x:c>
      <x:c r="J245" s="16" t="str">
        <x:v>출격문 근접판</x:v>
      </x:c>
      <x:c r="K245" s="16" t="str">
        <x:v>아인이 낫을 어깨에 걸친다</x:v>
      </x:c>
      <x:c r="L245" s="16" t="str"/>
      <x:c r="M245" s="16" t="str"/>
      <x:c r="N245" s="16" t="str">
        <x:v>430px · 여백 좁</x:v>
      </x:c>
      <x:c r="O245" s="16" t="str">
        <x:v>A young woman shouldering her scythe.</x:v>
      </x:c>
      <x:c r="P245" s="16" t="n">
        <x:v>3178</x:v>
      </x:c>
      <x:c r="Q245" s="16" t="str">
        <x:v>SOURCE</x:v>
      </x:c>
    </x:row>
    <x:row r="246" ht="66" customHeight="1">
      <x:c r="A246" s="16" t="str">
        <x:v>B272-272</x:v>
      </x:c>
      <x:c r="B246" s="16" t="str">
        <x:v>272</x:v>
      </x:c>
      <x:c r="C246" s="16" t="str">
        <x:v>272</x:v>
      </x:c>
      <x:c r="D246" s="16" t="n">
        <x:v>1</x:v>
      </x:c>
      <x:c r="E246" s="16" t="str">
        <x:v>EP01-S16</x:v>
      </x:c>
      <x:c r="F246" s="16" t="str">
        <x:v>15절 출격</x:v>
      </x:c>
      <x:c r="G246" s="16" t="str">
        <x:v>ECU</x:v>
      </x:c>
      <x:c r="H246" s="16" t="str"/>
      <x:c r="I246" s="16" t="str">
        <x:v>08-1-2</x:v>
      </x:c>
      <x:c r="J246" s="16" t="str">
        <x:v>출격문 근접판</x:v>
      </x:c>
      <x:c r="K246" s="16" t="str">
        <x:v>목덜미의 코어가 한 번 밝게 뛴다</x:v>
      </x:c>
      <x:c r="L246" s="16" t="str"/>
      <x:c r="M246" s="16" t="str"/>
      <x:c r="N246" s="16" t="str">
        <x:v>380px · 여백 좁</x:v>
      </x:c>
      <x:c r="O246" s="16" t="str">
        <x:v>An amber core at a nape pulsing once, brightly.</x:v>
      </x:c>
      <x:c r="P246" s="16" t="n">
        <x:v>3190</x:v>
      </x:c>
      <x:c r="Q246" s="16" t="str">
        <x:v>SOURCE</x:v>
      </x:c>
    </x:row>
    <x:row r="247" ht="66" customHeight="1">
      <x:c r="A247" s="16" t="str">
        <x:v>B273-273</x:v>
      </x:c>
      <x:c r="B247" s="16" t="str">
        <x:v>273</x:v>
      </x:c>
      <x:c r="C247" s="16" t="str">
        <x:v>273</x:v>
      </x:c>
      <x:c r="D247" s="16" t="n">
        <x:v>1</x:v>
      </x:c>
      <x:c r="E247" s="16" t="str">
        <x:v>EP01-S16</x:v>
      </x:c>
      <x:c r="F247" s="16" t="str">
        <x:v>15절 출격</x:v>
      </x:c>
      <x:c r="G247" s="16" t="str">
        <x:v>인서트</x:v>
      </x:c>
      <x:c r="H247" s="16" t="str">
        <x:v>🤫</x:v>
      </x:c>
      <x:c r="I247" s="16" t="str">
        <x:v>08-1-2</x:v>
      </x:c>
      <x:c r="J247" s="16" t="str">
        <x:v>출격문 근접판</x:v>
      </x:c>
      <x:c r="K247" s="16" t="str">
        <x:v>어깨가 욱신거린다. 손이 잠깐 멈춘다</x:v>
      </x:c>
      <x:c r="L247" s="16" t="str"/>
      <x:c r="M247" s="16" t="str"/>
      <x:c r="N247" s="16" t="str">
        <x:v>360px · 여백 좁</x:v>
      </x:c>
      <x:c r="O247" s="16" t="str">
        <x:v>A hand pausing mid-motion at a shoulder.</x:v>
      </x:c>
      <x:c r="P247" s="16" t="n">
        <x:v>3202</x:v>
      </x:c>
      <x:c r="Q247" s="16" t="str">
        <x:v>SOURCE</x:v>
      </x:c>
    </x:row>
    <x:row r="248" ht="66" customHeight="1">
      <x:c r="A248" s="16" t="str">
        <x:v>B274-274</x:v>
      </x:c>
      <x:c r="B248" s="16" t="str">
        <x:v>274</x:v>
      </x:c>
      <x:c r="C248" s="16" t="str">
        <x:v>274</x:v>
      </x:c>
      <x:c r="D248" s="16" t="n">
        <x:v>1</x:v>
      </x:c>
      <x:c r="E248" s="16" t="str">
        <x:v>EP01-S16</x:v>
      </x:c>
      <x:c r="F248" s="16" t="str">
        <x:v>15절 출격</x:v>
      </x:c>
      <x:c r="G248" s="16" t="str">
        <x:v>인서트</x:v>
      </x:c>
      <x:c r="H248" s="16" t="str">
        <x:v>🤫</x:v>
      </x:c>
      <x:c r="I248" s="16" t="str">
        <x:v>08-1-2</x:v>
      </x:c>
      <x:c r="J248" s="16" t="str">
        <x:v>출격문 근접판</x:v>
      </x:c>
      <x:c r="K248" s="16" t="str">
        <x:v>갈비뼈 어딘가에 금이 간 것 같다</x:v>
      </x:c>
      <x:c r="L248" s="16" t="str"/>
      <x:c r="M248" s="16" t="str"/>
      <x:c r="N248" s="16" t="str">
        <x:v>360px · 여백 중</x:v>
      </x:c>
      <x:c r="O248" s="16" t="str">
        <x:v>A hand pressed against ribs.</x:v>
      </x:c>
      <x:c r="P248" s="16" t="n">
        <x:v>3214</x:v>
      </x:c>
      <x:c r="Q248" s="16" t="str">
        <x:v>SOURCE</x:v>
      </x:c>
    </x:row>
    <x:row r="249" ht="66" customHeight="1">
      <x:c r="A249" s="16" t="str">
        <x:v>B275-275</x:v>
      </x:c>
      <x:c r="B249" s="16" t="str">
        <x:v>275</x:v>
      </x:c>
      <x:c r="C249" s="16" t="str">
        <x:v>275</x:v>
      </x:c>
      <x:c r="D249" s="16" t="n">
        <x:v>1</x:v>
      </x:c>
      <x:c r="E249" s="16" t="str">
        <x:v>EP01-S16</x:v>
      </x:c>
      <x:c r="F249" s="16" t="str">
        <x:v>15절 출격</x:v>
      </x:c>
      <x:c r="G249" s="16" t="str">
        <x:v>CU</x:v>
      </x:c>
      <x:c r="H249" s="16" t="str">
        <x:v>🤫</x:v>
      </x:c>
      <x:c r="I249" s="16" t="str">
        <x:v>08-1-2</x:v>
      </x:c>
      <x:c r="J249" s="16" t="str">
        <x:v>출격문 근접판</x:v>
      </x:c>
      <x:c r="K249" s="16" t="str">
        <x:v>상관없다</x:v>
      </x:c>
      <x:c r="L249" s="16" t="str"/>
      <x:c r="M249" s="16" t="str"/>
      <x:c r="N249" s="16" t="str">
        <x:v>400px · 여백 넓</x:v>
      </x:c>
      <x:c r="O249" s="16" t="str">
        <x:v>A young woman's face. She continues anyway. No expression change.</x:v>
      </x:c>
      <x:c r="P249" s="16" t="n">
        <x:v>3226</x:v>
      </x:c>
      <x:c r="Q249" s="16" t="str">
        <x:v>SOURCE</x:v>
      </x:c>
    </x:row>
    <x:row r="250" ht="66" customHeight="1">
      <x:c r="A250" s="16" t="str">
        <x:v>B276-276</x:v>
      </x:c>
      <x:c r="B250" s="16" t="str">
        <x:v>276</x:v>
      </x:c>
      <x:c r="C250" s="16" t="str">
        <x:v>276</x:v>
      </x:c>
      <x:c r="D250" s="16" t="n">
        <x:v>1</x:v>
      </x:c>
      <x:c r="E250" s="16" t="str">
        <x:v>EP01-S16</x:v>
      </x:c>
      <x:c r="F250" s="16" t="str">
        <x:v>15절 출격</x:v>
      </x:c>
      <x:c r="G250" s="16" t="str">
        <x:v>MS</x:v>
      </x:c>
      <x:c r="H250" s="16" t="str">
        <x:v>⭐</x:v>
      </x:c>
      <x:c r="I250" s="16" t="str">
        <x:v>08-1-2</x:v>
      </x:c>
      <x:c r="J250" s="16" t="str">
        <x:v>출격문 근접판</x:v>
      </x:c>
      <x:c r="K250" s="16" t="str">
        <x:v>정면. 안개를 본다</x:v>
      </x:c>
      <x:c r="L250" s="16" t="str">
        <x:v>대사 · 아인: 「…가자, 카인. 두 번 다시 놓치는 손은 없어야 하니까.」</x:v>
      </x:c>
      <x:c r="M250" s="16" t="str"/>
      <x:c r="N250" s="16" t="str">
        <x:v>560px · 여백 극</x:v>
      </x:c>
      <x:c r="O250" s="16" t="str">
        <x:v>A young woman facing forward into red fog.</x:v>
      </x:c>
      <x:c r="P250" s="16" t="n">
        <x:v>3238</x:v>
      </x:c>
      <x:c r="Q250" s="16" t="str">
        <x:v>SOURCE</x:v>
      </x:c>
    </x:row>
    <x:row r="251" ht="66" customHeight="1">
      <x:c r="A251" s="16" t="str">
        <x:v>B277-277</x:v>
      </x:c>
      <x:c r="B251" s="16" t="str">
        <x:v>277</x:v>
      </x:c>
      <x:c r="C251" s="16" t="str">
        <x:v>277</x:v>
      </x:c>
      <x:c r="D251" s="16" t="n">
        <x:v>1</x:v>
      </x:c>
      <x:c r="E251" s="16" t="str">
        <x:v>EP01-S16</x:v>
      </x:c>
      <x:c r="F251" s="16" t="str">
        <x:v>15절 출격</x:v>
      </x:c>
      <x:c r="G251" s="16" t="str">
        <x:v>MS 카인</x:v>
      </x:c>
      <x:c r="H251" s="16" t="str"/>
      <x:c r="I251" s="16" t="str">
        <x:v>08-1-2</x:v>
      </x:c>
      <x:c r="J251" s="16" t="str">
        <x:v>출격문 근접판</x:v>
      </x:c>
      <x:c r="K251" s="16" t="str">
        <x:v>대검을 뽑아 메며 씩 웃는다</x:v>
      </x:c>
      <x:c r="L251" s="16" t="str">
        <x:v>대사 · 카인: 「오냐. 놈들 머리통을 깨부수러 가자고!」</x:v>
      </x:c>
      <x:c r="M251" s="16" t="str"/>
      <x:c r="N251" s="16" t="str">
        <x:v>470px · 여백 중</x:v>
      </x:c>
      <x:c r="O251" s="16" t="str">
        <x:v>A large man shouldering his greatsword with a grin.</x:v>
      </x:c>
      <x:c r="P251" s="16" t="n">
        <x:v>3251</x:v>
      </x:c>
      <x:c r="Q251" s="16" t="str">
        <x:v>SOURCE</x:v>
      </x:c>
    </x:row>
    <x:row r="252" ht="66" customHeight="1">
      <x:c r="A252" s="16" t="str">
        <x:v>B278-278</x:v>
      </x:c>
      <x:c r="B252" s="16" t="str">
        <x:v>278</x:v>
      </x:c>
      <x:c r="C252" s="16" t="str">
        <x:v>278</x:v>
      </x:c>
      <x:c r="D252" s="16" t="n">
        <x:v>1</x:v>
      </x:c>
      <x:c r="E252" s="16" t="str">
        <x:v>EP01-S16</x:v>
      </x:c>
      <x:c r="F252" s="16" t="str">
        <x:v>15절 출격</x:v>
      </x:c>
      <x:c r="G252" s="16" t="str">
        <x:v>CU 카인</x:v>
      </x:c>
      <x:c r="H252" s="16" t="str"/>
      <x:c r="I252" s="16" t="str">
        <x:v>08-1-2</x:v>
      </x:c>
      <x:c r="J252" s="16" t="str">
        <x:v>출격문 근접판</x:v>
      </x:c>
      <x:c r="K252" s="16" t="str">
        <x:v>한 걸음 내딛다가, 작게</x:v>
      </x:c>
      <x:c r="L252" s="16" t="str">
        <x:v>대사 · 카인: 「…30만 원어치는 더 부숴야겠어.」</x:v>
      </x:c>
      <x:c r="M252" s="16" t="str"/>
      <x:c r="N252" s="16" t="str">
        <x:v>400px · 여백 넓</x:v>
      </x:c>
      <x:c r="O252" s="16" t="str">
        <x:v>A large man taking a step, muttering.</x:v>
      </x:c>
      <x:c r="P252" s="16" t="n">
        <x:v>3264</x:v>
      </x:c>
      <x:c r="Q252" s="16" t="str">
        <x:v>SOURCE</x:v>
      </x:c>
    </x:row>
    <x:row r="253" ht="66" customHeight="1">
      <x:c r="A253" s="16" t="str">
        <x:v>B279-279</x:v>
      </x:c>
      <x:c r="B253" s="16" t="str">
        <x:v>279</x:v>
      </x:c>
      <x:c r="C253" s="16" t="str">
        <x:v>279</x:v>
      </x:c>
      <x:c r="D253" s="16" t="n">
        <x:v>1</x:v>
      </x:c>
      <x:c r="E253" s="16" t="str">
        <x:v>EP01-S16</x:v>
      </x:c>
      <x:c r="F253" s="16" t="str">
        <x:v>15절 출격</x:v>
      </x:c>
      <x:c r="G253" s="16" t="str">
        <x:v>WIDE 뒤에서</x:v>
      </x:c>
      <x:c r="H253" s="16" t="str">
        <x:v>⭐🤫</x:v>
      </x:c>
      <x:c r="I253" s="16" t="str">
        <x:v>08-1-1</x:v>
      </x:c>
      <x:c r="J253" s="16" t="str">
        <x:v>문 너머</x:v>
      </x:c>
      <x:c r="K253" s="16" t="str">
        <x:v>두 사람이 안개 속으로 걸어 들어간다. 카인은 반보 뒤였다</x:v>
      </x:c>
      <x:c r="L253" s="16" t="str"/>
      <x:c r="M253" s="16" t="str"/>
      <x:c r="N253" s="16" t="str">
        <x:v>560px · 여백 중</x:v>
      </x:c>
      <x:c r="O253" s="16" t="str">
        <x:v>From behind. Two figures walking into red fog. The larger man is half a step behind. BOTH PAIRS OF FEET IN FRAME.</x:v>
      </x:c>
      <x:c r="P253" s="16" t="n">
        <x:v>3277</x:v>
      </x:c>
      <x:c r="Q253" s="16" t="str">
        <x:v>SOURCE</x:v>
      </x:c>
    </x:row>
    <x:row r="254" ht="66" customHeight="1">
      <x:c r="A254" s="16" t="str">
        <x:v>B280-280</x:v>
      </x:c>
      <x:c r="B254" s="16" t="str">
        <x:v>280</x:v>
      </x:c>
      <x:c r="C254" s="16" t="str">
        <x:v>280</x:v>
      </x:c>
      <x:c r="D254" s="16" t="n">
        <x:v>1</x:v>
      </x:c>
      <x:c r="E254" s="16" t="str">
        <x:v>EP01-S16</x:v>
      </x:c>
      <x:c r="F254" s="16" t="str">
        <x:v>15절 출격</x:v>
      </x:c>
      <x:c r="G254" s="16" t="str">
        <x:v>ECU</x:v>
      </x:c>
      <x:c r="H254" s="16" t="str">
        <x:v>🤫</x:v>
      </x:c>
      <x:c r="I254" s="16" t="str">
        <x:v>08-1-2</x:v>
      </x:c>
      <x:c r="J254" s="16" t="str">
        <x:v>출격문 근접판</x:v>
      </x:c>
      <x:c r="K254" s="16" t="str">
        <x:v>목에 걸린 인식표 두 개가 걸음마다 부딪혀 짤랑거린다</x:v>
      </x:c>
      <x:c r="L254" s="16" t="str"/>
      <x:c r="M254" s="16" t="str">
        <x:v>짤랑</x:v>
      </x:c>
      <x:c r="N254" s="16" t="str">
        <x:v>380px · 여백 좁</x:v>
      </x:c>
      <x:c r="O254" s="16" t="str">
        <x:v>Two metal tags on chains knocking together with each step.</x:v>
      </x:c>
      <x:c r="P254" s="16" t="n">
        <x:v>3289</x:v>
      </x:c>
      <x:c r="Q254" s="16" t="str">
        <x:v>SOURCE</x:v>
      </x:c>
    </x:row>
    <x:row r="255" ht="66" customHeight="1">
      <x:c r="A255" s="16" t="str">
        <x:v>B281-281</x:v>
      </x:c>
      <x:c r="B255" s="16" t="str">
        <x:v>281</x:v>
      </x:c>
      <x:c r="C255" s="16" t="str">
        <x:v>281</x:v>
      </x:c>
      <x:c r="D255" s="16" t="n">
        <x:v>1</x:v>
      </x:c>
      <x:c r="E255" s="16" t="str">
        <x:v>EP01-S16</x:v>
      </x:c>
      <x:c r="F255" s="16" t="str">
        <x:v>15절 출격</x:v>
      </x:c>
      <x:c r="G255" s="16" t="str">
        <x:v>ECU</x:v>
      </x:c>
      <x:c r="H255" s="16" t="str">
        <x:v>⭐</x:v>
      </x:c>
      <x:c r="I255" s="16" t="str">
        <x:v>08-1-2</x:v>
      </x:c>
      <x:c r="J255" s="16" t="str">
        <x:v>출격문 근접판</x:v>
      </x:c>
      <x:c r="K255" s="16" t="str">
        <x:v>갓 눌러 박은 글자. C · C</x:v>
      </x:c>
      <x:c r="L255" s="16" t="str"/>
      <x:c r="M255" s="16" t="str"/>
      <x:c r="N255" s="16" t="str">
        <x:v>400px · 여백 넓</x:v>
      </x:c>
      <x:c r="O255" s="16" t="str">
        <x:v>Extreme close on two freshly stamped tags. Each reads a single letter C.</x:v>
      </x:c>
      <x:c r="P255" s="16" t="n">
        <x:v>3302</x:v>
      </x:c>
      <x:c r="Q255" s="16" t="str">
        <x:v>SOURCE</x:v>
      </x:c>
    </x:row>
    <x:row r="256" ht="66" customHeight="1">
      <x:c r="A256" s="16" t="str">
        <x:v>B282-282</x:v>
      </x:c>
      <x:c r="B256" s="16" t="str">
        <x:v>282</x:v>
      </x:c>
      <x:c r="C256" s="16" t="str">
        <x:v>282</x:v>
      </x:c>
      <x:c r="D256" s="16" t="n">
        <x:v>1</x:v>
      </x:c>
      <x:c r="E256" s="16" t="str">
        <x:v>EP01-S16</x:v>
      </x:c>
      <x:c r="F256" s="16" t="str">
        <x:v>15절 출격</x:v>
      </x:c>
      <x:c r="G256" s="16" t="str">
        <x:v>EWIDE 극세로 블리드</x:v>
      </x:c>
      <x:c r="H256" s="16" t="str">
        <x:v>🎭</x:v>
      </x:c>
      <x:c r="I256" s="16" t="str">
        <x:v>08-1-1</x:v>
      </x:c>
      <x:c r="J256" s="16" t="str">
        <x:v>문 너머</x:v>
      </x:c>
      <x:c r="K256" s="16" t="str">
        <x:v>안개가 두 사람을 삼킨다</x:v>
      </x:c>
      <x:c r="L256" s="16" t="str">
        <x:v>나레이션: 그것이 무엇을 세고 있는 숫자인지, 두 사람은 아직 알지 못했다.</x:v>
      </x:c>
      <x:c r="M256" s="16" t="str"/>
      <x:c r="N256" s="16" t="str">
        <x:v>1,500px · 여백 극</x:v>
      </x:c>
      <x:c r="O256" s="16" t="str">
        <x:v>Red fog swallowing two small figures. No city lights anywhere.</x:v>
      </x:c>
      <x:c r="P256" s="16" t="n">
        <x:v>3314</x:v>
      </x:c>
      <x:c r="Q256" s="16" t="str">
        <x:v>SOURCE</x:v>
      </x:c>
    </x:row>
  </x:sheetData>
  <x:conditionalFormatting sqref="Q2:Q256">
    <x:cfRule type="cellIs" dxfId="6" priority="1">
      <x:formula>"EDITORIAL_REVIEW"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099d5125970484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4" hidden="0" customWidth="1"/>
    <x:col min="4" max="4" width="14" hidden="0" customWidth="1"/>
    <x:col min="5" max="5" width="18" hidden="0" customWidth="1"/>
    <x:col min="6" max="6" width="38" hidden="0" customWidth="1"/>
    <x:col min="7" max="7" width="18" hidden="0" customWidth="1"/>
    <x:col min="8" max="8" width="20" hidden="0" customWidth="1"/>
    <x:col min="9" max="9" width="62" hidden="0" customWidth="1"/>
    <x:col min="10" max="10" width="12" hidden="0" customWidth="1"/>
  </x:cols>
  <x:sheetData>
    <x:row r="1" ht="24" hidden="0" customHeight="1">
      <x:c r="A1" s="142" t="str">
        <x:v>CUT_ID</x:v>
      </x:c>
      <x:c r="B1" s="142" t="str">
        <x:v>ISSUE_TYPE</x:v>
      </x:c>
      <x:c r="C1" s="142" t="str">
        <x:v>BLOCK_ID</x:v>
      </x:c>
      <x:c r="D1" s="142" t="str">
        <x:v>SCENE_ID</x:v>
      </x:c>
      <x:c r="E1" s="142" t="str">
        <x:v>SOURCE_SECTION</x:v>
      </x:c>
      <x:c r="F1" s="142" t="str">
        <x:v>SCREEN_DETAIL</x:v>
      </x:c>
      <x:c r="G1" s="142" t="str">
        <x:v>NARRATIVE_STATUS</x:v>
      </x:c>
      <x:c r="H1" s="142" t="str">
        <x:v>SPLIT_STATUS</x:v>
      </x:c>
      <x:c r="I1" s="142" t="str">
        <x:v>REVIEW_NOTE</x:v>
      </x:c>
      <x:c r="J1" s="142" t="str">
        <x:v>SOURCE_LINE</x:v>
      </x:c>
    </x:row>
    <x:row r="2" ht="40.5" hidden="0" customHeight="1">
      <x:c r="A2" s="362" t="str">
        <x:v>199</x:v>
      </x:c>
      <x:c r="B2" s="363" t="str">
        <x:v>RESOLVED</x:v>
      </x:c>
      <x:c r="C2" s="363" t="str">
        <x:v>B195-199</x:v>
      </x:c>
      <x:c r="D2" s="363" t="str">
        <x:v>EP01-S11</x:v>
      </x:c>
      <x:c r="E2" s="363" t="str">
        <x:v>9절 각성 · 10절</x:v>
      </x:c>
      <x:c r="F2" s="363" t="str">
        <x:v>입 없는 흉곽 강선이 한 번 안쪽으로 수축하며 숨이 들어간다.</x:v>
      </x:c>
      <x:c r="G2" s="363" t="str">
        <x:v>NONE</x:v>
      </x:c>
      <x:c r="H2" s="363" t="str">
        <x:v>EDITORIAL_CANON_SPLIT</x:v>
      </x:c>
      <x:c r="I2" s="363" t="str">
        <x:v>소설 11절의 ‘숨이 들어갔다’를 CUT199로 배치해 5컷/4단 불일치 해결.</x:v>
      </x:c>
      <x:c r="J2" s="364" t="n">
        <x:v>752</x:v>
      </x:c>
    </x:row>
    <x:row r="3" ht="15" hidden="0" customHeight="1">
      <x:c r="A3" s="46"/>
      <x:c r="B3" s="46"/>
      <x:c r="C3" s="46"/>
      <x:c r="D3" s="46"/>
      <x:c r="E3" s="46"/>
      <x:c r="F3" s="46"/>
      <x:c r="G3" s="46"/>
      <x:c r="H3" s="46"/>
      <x:c r="I3" s="46"/>
      <x:c r="J3" s="46"/>
    </x:row>
    <x:row r="4" ht="15" hidden="0" customHeight="1">
      <x:c r="A4" s="46"/>
      <x:c r="B4" s="46"/>
      <x:c r="C4" s="46"/>
      <x:c r="D4" s="46"/>
      <x:c r="E4" s="46"/>
      <x:c r="F4" s="46"/>
      <x:c r="G4" s="46"/>
      <x:c r="H4" s="46"/>
      <x:c r="I4" s="46"/>
      <x:c r="J4" s="46"/>
    </x:row>
    <x:row r="5">
      <x:c r="A5"/>
      <x:c r="B5"/>
      <x:c r="C5"/>
      <x:c r="D5"/>
      <x:c r="E5"/>
      <x:c r="F5"/>
      <x:c r="G5"/>
      <x:c r="H5"/>
      <x:c r="I5"/>
      <x:c r="J5"/>
    </x:row>
    <x:row r="6"/>
    <x:row r="7"/>
    <x:row r="8"/>
    <x:row r="9"/>
    <x:row r="10"/>
  </x:sheetData>
  <x:conditionalFormatting sqref="G2:G4">
    <x:cfRule type="cellIs" dxfId="7" priority="1">
      <x:formula>"VERIFY"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487537c6bdb479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54" hidden="0" customWidth="1"/>
  </x:cols>
  <x:sheetData>
    <x:row r="1">
      <x:c r="A1" s="138" t="str">
        <x:v>CODE</x:v>
      </x:c>
      <x:c r="B1" s="138" t="str">
        <x:v>TYPE</x:v>
      </x:c>
      <x:c r="C1" s="138" t="str">
        <x:v>DEFINITION</x:v>
      </x:c>
    </x:row>
    <x:row r="2" ht="42" customHeight="1">
      <x:c r="A2" s="46" t="str">
        <x:v>POLICY-01</x:v>
      </x:c>
      <x:c r="B2" s="46" t="str">
        <x:v>밑밥 운영 원칙</x:v>
      </x:c>
      <x:c r="C2" s="46" t="str">
        <x:v>모든 밑밥에는 역할이 있어야 하지만 모든 밑밥에 정답이 있을 필요는 없다.</x:v>
      </x:c>
    </x:row>
    <x:row r="3" ht="42" customHeight="1">
      <x:c r="A3" s="46" t="str">
        <x:v>POLICY-02</x:v>
      </x:c>
      <x:c r="B3" s="46" t="str">
        <x:v>밑밥 운영 원칙</x:v>
      </x:c>
      <x:c r="C3" s="46" t="str">
        <x:v>OPEN은 결손이 아니라 의도된 세계의 잔향이다. 독자에게 답을 약속하지 않는다.</x:v>
      </x:c>
    </x:row>
    <x:row r="4" ht="42" customHeight="1">
      <x:c r="A4" s="46" t="str">
        <x:v>POLICY-03</x:v>
      </x:c>
      <x:c r="B4" s="46" t="str">
        <x:v>제작 원칙</x:v>
      </x:c>
      <x:c r="C4" s="46" t="str">
        <x:v>설정의 미해결과 제작 오류를 분리한다. 제작 오류는 반드시 수정한다.</x:v>
      </x:c>
    </x:row>
    <x:row r="5" ht="42" customHeight="1">
      <x:c r="A5" s="46" t="str">
        <x:v>PAYOFF</x:v>
      </x:c>
      <x:c r="B5" s="46" t="str">
        <x:v>서사 상태</x:v>
      </x:c>
      <x:c r="C5" s="46" t="str">
        <x:v>현재 이야기의 인과·선택을 이해하려면 본편에서 반드시 회수해야 하는 계약.</x:v>
      </x:c>
    </x:row>
    <x:row r="6" ht="42" customHeight="1">
      <x:c r="A6" s="46" t="str">
        <x:v>REFRAME</x:v>
      </x:c>
      <x:c r="B6" s="46" t="str">
        <x:v>서사 상태</x:v>
      </x:c>
      <x:c r="C6" s="46" t="str">
        <x:v>사실은 처음부터 보여주고 후반 사건이 과거 장면의 의미를 바꾸는 장치.</x:v>
      </x:c>
    </x:row>
    <x:row r="7" ht="42" customHeight="1">
      <x:c r="A7" s="46" t="str">
        <x:v>OPEN</x:v>
      </x:c>
      <x:c r="B7" s="46" t="str">
        <x:v>서사 상태</x:v>
      </x:c>
      <x:c r="C7" s="46" t="str">
        <x:v>공식 정답 없이 두 가지 이상의 합리적 해석을 남기는 세계의 잔향.</x:v>
      </x:c>
    </x:row>
    <x:row r="8" ht="42" customHeight="1">
      <x:c r="A8" s="46" t="str">
        <x:v>EXPANSION</x:v>
      </x:c>
      <x:c r="B8" s="46" t="str">
        <x:v>서사 상태</x:v>
      </x:c>
      <x:c r="C8" s="46" t="str">
        <x:v>본편 완결에 필요하지 않으며 외전·게임·DLC에서 다른 단서를 더할 수 있는 장치.</x:v>
      </x:c>
    </x:row>
    <x:row r="9" ht="42" customHeight="1">
      <x:c r="A9" s="46" t="str">
        <x:v>NONE</x:v>
      </x:c>
      <x:c r="B9" s="46" t="str">
        <x:v>서사 상태</x:v>
      </x:c>
      <x:c r="C9" s="46" t="str">
        <x:v>별도의 미스터리·회수 의무가 없는 일반 컷.</x:v>
      </x:c>
    </x:row>
    <x:row r="10" ht="42" customHeight="1">
      <x:c r="A10" s="46" t="str">
        <x:v>PUBLIC_CANON</x:v>
      </x:c>
      <x:c r="B10" s="46" t="str">
        <x:v>진실 모드</x:v>
      </x:c>
      <x:c r="C10" s="46" t="str">
        <x:v>작품 안에서 의미가 공식적으로 확정된다.</x:v>
      </x:c>
    </x:row>
    <x:row r="11" ht="42" customHeight="1">
      <x:c r="A11" s="46" t="str">
        <x:v>PRIVATE_TRUTH</x:v>
      </x:c>
      <x:c r="B11" s="46" t="str">
        <x:v>진실 모드</x:v>
      </x:c>
      <x:c r="C11" s="46" t="str">
        <x:v>제작진 내부 정답은 있으나 본편이 전부 설명하지 않을 수 있다.</x:v>
      </x:c>
    </x:row>
    <x:row r="12" ht="42" customHeight="1">
      <x:c r="A12" s="46" t="str">
        <x:v>INDETERMINATE</x:v>
      </x:c>
      <x:c r="B12" s="46" t="str">
        <x:v>진실 모드</x:v>
      </x:c>
      <x:c r="C12" s="46" t="str">
        <x:v>애초에 하나의 정답을 고정하지 않고 복수 해석을 허용한다.</x:v>
      </x:c>
    </x:row>
    <x:row r="13" ht="42" customHeight="1">
      <x:c r="A13" s="46" t="str">
        <x:v>NOT_APPLICABLE</x:v>
      </x:c>
      <x:c r="B13" s="46" t="str">
        <x:v>진실 모드</x:v>
      </x:c>
      <x:c r="C13" s="46" t="str">
        <x:v>진실 모드 적용 대상이 아니다.</x:v>
      </x:c>
    </x:row>
    <x:row r="14" ht="42" customHeight="1">
      <x:c r="A14" s="46" t="str">
        <x:v>CONTRACT</x:v>
      </x:c>
      <x:c r="B14" s="46" t="str">
        <x:v>독자 약속</x:v>
      </x:c>
      <x:c r="C14" s="46" t="str">
        <x:v>작품이 답을 주겠다고 건 서사적 약속.</x:v>
      </x:c>
    </x:row>
    <x:row r="15" ht="42" customHeight="1">
      <x:c r="A15" s="46" t="str">
        <x:v>REFRAME_PROMISE</x:v>
      </x:c>
      <x:c r="B15" s="46" t="str">
        <x:v>독자 약속</x:v>
      </x:c>
      <x:c r="C15" s="46" t="str">
        <x:v>후반의 정보가 앞 장면을 다시 읽게 할 것이라는 약속.</x:v>
      </x:c>
    </x:row>
    <x:row r="16" ht="42" customHeight="1">
      <x:c r="A16" s="46" t="str">
        <x:v>OPTIONAL_EXTENSION</x:v>
      </x:c>
      <x:c r="B16" s="46" t="str">
        <x:v>독자 약속</x:v>
      </x:c>
      <x:c r="C16" s="46" t="str">
        <x:v>본편 밖에서 더 볼 수 있지만 본편 이해에는 필요하지 않다.</x:v>
      </x:c>
    </x:row>
    <x:row r="17" ht="42" customHeight="1">
      <x:c r="A17" s="46" t="str">
        <x:v>NO_ANSWER_PROMISE</x:v>
      </x:c>
      <x:c r="B17" s="46" t="str">
        <x:v>독자 약속</x:v>
      </x:c>
      <x:c r="C17" s="46" t="str">
        <x:v>답이 없을 수 있음을 전제로 하는 해석형 단서.</x:v>
      </x:c>
    </x:row>
    <x:row r="18" ht="42" customHeight="1">
      <x:c r="A18" s="46" t="str">
        <x:v>PRODUCTION_FIX</x:v>
      </x:c>
      <x:c r="B18" s="46" t="str">
        <x:v>검수 상태</x:v>
      </x:c>
      <x:c r="C18" s="46" t="str">
        <x:v>서사 미스터리가 아니라 컷 수·좌우·조판·연속성 등 반드시 수정할 제작 오류.</x:v>
      </x:c>
    </x:row>
    <x:row r="19">
      <x:c r="A19" s="139" t="str">
        <x:v>GLOBAL-VIS-01</x:v>
      </x:c>
      <x:c r="B19" s="139" t="str">
        <x:v>전역 시각 잠금</x:v>
      </x:c>
      <x:c r="C19" s="139" t="str">
        <x:v>엠버 오렌지 단독 발광 / 청록 금지 / 도시 불빛 금지 / 게임 UI 금지 / 작화 레이어 텍스트 금지</x:v>
      </x:c>
    </x:row>
    <x:row r="20">
      <x:c r="A20" s="139" t="str">
        <x:v>SOURCE</x:v>
      </x:c>
      <x:c r="B20" s="139" t="str">
        <x:v>분할 상태</x:v>
      </x:c>
      <x:c r="C20" s="139" t="str">
        <x:v>원문 한 컷 또는 원문 지시 그대로.</x:v>
      </x:c>
    </x:row>
    <x:row r="21">
      <x:c r="A21" s="139" t="str">
        <x:v>SOURCE_SPLIT</x:v>
      </x:c>
      <x:c r="B21" s="139" t="str">
        <x:v>분할 상태</x:v>
      </x:c>
      <x:c r="C21" s="139" t="str">
        <x:v>원문의 ①②③·화살표·상하 지시로 세부 컷 분할.</x:v>
      </x:c>
    </x:row>
    <x:row r="22">
      <x:c r="A22" s="139" t="str">
        <x:v>EDITORIAL_SPLIT</x:v>
      </x:c>
      <x:c r="B22" s="139" t="str">
        <x:v>분할 상태</x:v>
      </x:c>
      <x:c r="C22" s="139" t="str">
        <x:v>원문 동작·문장을 제작용 세부 컷으로 분리한 해석.</x:v>
      </x:c>
    </x:row>
    <x:row r="23">
      <x:c r="A23" s="139" t="str">
        <x:v>EDITORIAL_REVIEW</x:v>
      </x:c>
      <x:c r="B23" s="139" t="str">
        <x:v>분할 상태</x:v>
      </x:c>
      <x:c r="C23" s="139" t="str">
        <x:v>블록 컷 수와 원문 지시가 불일치하여 연출 확정 필요.</x:v>
      </x:c>
    </x:row>
    <x:row r="24">
      <x:c r="A24" s="139" t="str">
        <x:v>⭐</x:v>
      </x:c>
      <x:c r="B24" s="139" t="str">
        <x:v>소스 플래그</x:v>
      </x:c>
      <x:c r="C24" s="139" t="str">
        <x:v>작품의 축·시그니처.</x:v>
      </x:c>
    </x:row>
    <x:row r="25">
      <x:c r="A25" s="139" t="str">
        <x:v>🤫</x:v>
      </x:c>
      <x:c r="B25" s="139" t="str">
        <x:v>소스 플래그</x:v>
      </x:c>
      <x:c r="C25" s="139" t="str">
        <x:v>암묵·대사 금지.</x:v>
      </x:c>
    </x:row>
    <x:row r="26">
      <x:c r="A26" s="139" t="str">
        <x:v>📢</x:v>
      </x:c>
      <x:c r="B26" s="139" t="str">
        <x:v>소스 플래그</x:v>
      </x:c>
      <x:c r="C26" s="139" t="str">
        <x:v>명시적 규칙·정보 컷.</x:v>
      </x:c>
    </x:row>
    <x:row r="27">
      <x:c r="A27" s="139" t="str">
        <x:v>🎣</x:v>
      </x:c>
      <x:c r="B27" s="139" t="str">
        <x:v>소스 플래그</x:v>
      </x:c>
      <x:c r="C27" s="139" t="str">
        <x:v>복선·강조 금지.</x:v>
      </x:c>
    </x:row>
    <x:row r="28">
      <x:c r="A28" s="139" t="str">
        <x:v>🔒</x:v>
      </x:c>
      <x:c r="B28" s="139" t="str">
        <x:v>소스 플래그</x:v>
      </x:c>
      <x:c r="C28" s="139" t="str">
        <x:v>동일 구도 회수.</x:v>
      </x:c>
    </x:row>
    <x:row r="29">
      <x:c r="A29" s="139" t="str">
        <x:v>🔴</x:v>
      </x:c>
      <x:c r="B29" s="139" t="str">
        <x:v>소스 플래그</x:v>
      </x:c>
      <x:c r="C29" s="139" t="str">
        <x:v>필수·변경 금지.</x:v>
      </x:c>
    </x:row>
    <x:row r="30">
      <x:c r="A30" s="139" t="str">
        <x:v>🎭</x:v>
      </x:c>
      <x:c r="B30" s="139" t="str">
        <x:v>소스 플래그</x:v>
      </x:c>
      <x:c r="C30" s="139" t="str">
        <x:v>생활·관계·인간적 완충.</x:v>
      </x:c>
    </x:row>
    <x:row r="31">
      <x:c r="A31" s="139" t="str">
        <x:v>🟤</x:v>
      </x:c>
      <x:c r="B31" s="139" t="str">
        <x:v>소스 플래그</x:v>
      </x:c>
      <x:c r="C31" s="139" t="str">
        <x:v>회상 색조.</x:v>
      </x:c>
    </x:row>
    <x:row r="32" ht="33" customHeight="1">
      <x:c r="A32" s="303" t="str">
        <x:v>EDITORIAL_CANON_SPLIT</x:v>
      </x:c>
      <x:c r="B32" s="304" t="str">
        <x:v>분할 상태</x:v>
      </x:c>
      <x:c r="C32" s="305" t="str">
        <x:v>원본 콘티의 번호·블록 공백을 소설 캐논의 실제 동작·대사로 보완해 확정한 제작 분할.</x:v>
      </x:c>
    </x:row>
    <x:row r="33" ht="33" customHeight="1">
      <x:c r="A33" s="306" t="str">
        <x:v>RESOLVED</x:v>
      </x:c>
      <x:c r="B33" s="307" t="str">
        <x:v>검수 상태</x:v>
      </x:c>
      <x:c r="C33" s="308" t="str">
        <x:v>제작 오류 또는 분할 미정이 소스 근거와 연출 규칙에 따라 해결됨.</x:v>
      </x:c>
    </x:row>
  </x:sheetData>
  <x:pageMargins left="0.7" right="0.7" top="0.75" bottom="0.75" header="0.3" footer="0.3"/>
  <x:tableParts count="1">
    <x:tablePart xmlns:r="http://schemas.openxmlformats.org/officeDocument/2006/relationships" r:id="Ra1d91e6ea0924d8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52" hidden="0" customWidth="1"/>
    <x:col min="4" max="4" width="42" hidden="0" customWidth="1"/>
  </x:cols>
  <x:sheetData>
    <x:row r="1" ht="30" customHeight="1">
      <x:c r="A1" s="147" t="str">
        <x:v>PROJECT TWILIGHT — CANON PATCH v1.3</x:v>
      </x:c>
      <x:c r="B1" s="147"/>
      <x:c r="C1" s="147"/>
      <x:c r="D1" s="147"/>
    </x:row>
    <x:row r="2">
      <x:c r="A2" s="152" t="str">
        <x:v>작가 확정 규칙과 제작 운영 원칙을 본 바이블 다음 통합 전까지 우선 적용한다.</x:v>
      </x:c>
      <x:c r="B2" s="152"/>
      <x:c r="C2" s="152"/>
      <x:c r="D2" s="152"/>
    </x:row>
    <x:row r="4">
      <x:c r="A4" s="154" t="str">
        <x:v>A. 상처·재생 캐논</x:v>
      </x:c>
      <x:c r="B4" s="154"/>
      <x:c r="C4" s="154"/>
      <x:c r="D4" s="154"/>
    </x:row>
    <x:row r="5">
      <x:c r="A5" s="138" t="str">
        <x:v>구분</x:v>
      </x:c>
      <x:c r="B5" s="138" t="str">
        <x:v>작가 확정 캐논</x:v>
      </x:c>
      <x:c r="C5" s="138" t="str">
        <x:v>웹툰·게임 적용</x:v>
      </x:c>
      <x:c r="D5" s="138" t="str">
        <x:v>미확정·보호</x:v>
      </x:c>
    </x:row>
    <x:row r="6" ht="46" customHeight="1">
      <x:c r="A6" s="139" t="str">
        <x:v>재생 속도</x:v>
      </x:c>
      <x:c r="B6" s="139" t="str">
        <x:v>등급이 오를수록 상처 재생이 빨라진다.</x:v>
      </x:c>
      <x:c r="C6" s="139" t="str">
        <x:v>같은 상처라도 등급에 따라 붕대·동작 제한·회복 장면의 지속 구간을 다르게 관리한다.</x:v>
      </x:c>
      <x:c r="D6" s="139" t="str">
        <x:v>등급별 정확한 시간·배율은 아직 고정하지 않는다.</x:v>
      </x:c>
    </x:row>
    <x:row r="7" ht="46" customHeight="1">
      <x:c r="A7" s="139" t="str">
        <x:v>흉터</x:v>
      </x:c>
      <x:c r="B7" s="139" t="str">
        <x:v>상처가 아문 뒤에도 흉은 남는다.</x:v>
      </x:c>
      <x:c r="C7" s="139" t="str">
        <x:v>캐릭터 모델·회차 연속성·게임 외형에 흉터를 누적 기록한다.</x:v>
      </x:c>
      <x:c r="D7" s="139" t="str">
        <x:v>흉터의 색 변화·옅어지는 속도는 추후 결정.</x:v>
      </x:c>
    </x:row>
    <x:row r="8" ht="46" customHeight="1">
      <x:c r="A8" s="139" t="str">
        <x:v>저등급</x:v>
      </x:c>
      <x:c r="B8" s="139" t="str">
        <x:v>저등급일 때는 상처가 아물기까지 실제 시간이 필요하다.</x:v>
      </x:c>
      <x:c r="C8" s="139" t="str">
        <x:v>장면 전환만으로 리셋하지 않고, 회복 전까지 자세·호흡·무기 운용에 흔적을 남긴다.</x:v>
      </x:c>
      <x:c r="D8" s="139" t="str">
        <x:v>상처 종류별 치유 기간표는 손상 원장 단계에서 확정.</x:v>
      </x:c>
    </x:row>
    <x:row r="9" ht="46" customHeight="1">
      <x:c r="A9" s="139" t="str">
        <x:v>운영 기준</x:v>
      </x:c>
      <x:c r="B9" s="139" t="str">
        <x:v>상처 연속성은 ‘영구 미회복’이 아니라 ‘등급별 회복 속도 + 남는 흉’으로 관리한다.</x:v>
      </x:c>
      <x:c r="C9" s="139" t="str">
        <x:v>성장 체감은 회복 속도에서도 보이되, 즉시 무상 회복처럼 연출하지 않는다.</x:v>
      </x:c>
      <x:c r="D9" s="139" t="str">
        <x:v>핵·신경·골절 등 손상 종류별 차등 규칙은 별도 설계.</x:v>
      </x:c>
    </x:row>
    <x:row r="10">
      <x:c r="A10" s="139"/>
      <x:c r="B10" s="139"/>
      <x:c r="C10" s="139"/>
      <x:c r="D10" s="139"/>
    </x:row>
    <x:row r="11">
      <x:c r="A11" s="157" t="str">
        <x:v>B. 밑밥 운영 원칙</x:v>
      </x:c>
      <x:c r="B11" s="157"/>
      <x:c r="C11" s="157"/>
      <x:c r="D11" s="157"/>
    </x:row>
    <x:row r="12">
      <x:c r="A12" s="138" t="str">
        <x:v>상태</x:v>
      </x:c>
      <x:c r="B12" s="138" t="str">
        <x:v>기능</x:v>
      </x:c>
      <x:c r="C12" s="138" t="str">
        <x:v>회수 의무</x:v>
      </x:c>
      <x:c r="D12" s="138" t="str">
        <x:v>적용 기준</x:v>
      </x:c>
    </x:row>
    <x:row r="13" ht="42" customHeight="1">
      <x:c r="A13" s="139" t="str">
        <x:v>PAYOFF</x:v>
      </x:c>
      <x:c r="B13" s="139" t="str">
        <x:v>현재 사건의 인과·인물 선택을 이해하게 한다.</x:v>
      </x:c>
      <x:c r="C13" s="139" t="str">
        <x:v>필수</x:v>
      </x:c>
      <x:c r="D13" s="139" t="str">
        <x:v>답이 없으면 여운이 아니라 결손이 되는 항목.</x:v>
      </x:c>
    </x:row>
    <x:row r="14" ht="42" customHeight="1">
      <x:c r="A14" s="139" t="str">
        <x:v>REFRAME</x:v>
      </x:c>
      <x:c r="B14" s="139" t="str">
        <x:v>후반의 사건이 이미 본 행동의 의미를 바꾼다.</x:v>
      </x:c>
      <x:c r="C14" s="139" t="str">
        <x:v>의미 전환 필수</x:v>
      </x:c>
      <x:c r="D14" s="139" t="str">
        <x:v>정보는 처음부터 보여주고 의미만 늦춘다.</x:v>
      </x:c>
    </x:row>
    <x:row r="15" ht="42" customHeight="1">
      <x:c r="A15" s="139" t="str">
        <x:v>OPEN</x:v>
      </x:c>
      <x:c r="B15" s="139" t="str">
        <x:v>독자 추측과 세계의 깊이를 만든다.</x:v>
      </x:c>
      <x:c r="C15" s="139" t="str">
        <x:v>없음</x:v>
      </x:c>
      <x:c r="D15" s="139" t="str">
        <x:v>두 가지 이상 해석 가능, 답을 약속하지 않음, 강조 과잉 금지.</x:v>
      </x:c>
    </x:row>
    <x:row r="16" ht="42" customHeight="1">
      <x:c r="A16" s="139" t="str">
        <x:v>EXPANSION</x:v>
      </x:c>
      <x:c r="B16" s="139" t="str">
        <x:v>외전·게임에서 다른 각도의 단서를 보탠다.</x:v>
      </x:c>
      <x:c r="C16" s="139" t="str">
        <x:v>본편에는 없음</x:v>
      </x:c>
      <x:c r="D16" s="139" t="str">
        <x:v>확장은 본편의 빈칸을 수리하지 않고 세계를 넓힌다.</x:v>
      </x:c>
    </x:row>
    <x:row r="17" ht="42" customHeight="1">
      <x:c r="A17" s="139" t="str">
        <x:v>PRODUCTION_FIX</x:v>
      </x:c>
      <x:c r="B17" s="139" t="str">
        <x:v>컷 수·좌우·조판·연속성 오류를 해결한다.</x:v>
      </x:c>
      <x:c r="C17" s="139" t="str">
        <x:v>필수</x:v>
      </x:c>
      <x:c r="D17" s="139" t="str">
        <x:v>미스터리로 포장하지 않는다.</x:v>
      </x:c>
    </x:row>
    <x:row r="18">
      <x:c r="A18" s="139"/>
      <x:c r="B18" s="139"/>
      <x:c r="C18" s="139"/>
      <x:c r="D18" s="139"/>
    </x:row>
    <x:row r="19">
      <x:c r="A19" s="158" t="str">
        <x:v>C. 현재 진행 상태</x:v>
      </x:c>
      <x:c r="B19" s="158"/>
      <x:c r="C19" s="158"/>
      <x:c r="D19" s="158"/>
    </x:row>
    <x:row r="20">
      <x:c r="A20" s="138" t="str">
        <x:v>단계</x:v>
      </x:c>
      <x:c r="B20" s="138" t="str">
        <x:v>상태</x:v>
      </x:c>
      <x:c r="C20" s="138" t="str">
        <x:v>완료 내용</x:v>
      </x:c>
      <x:c r="D20" s="138" t="str">
        <x:v>다음 위치</x:v>
      </x:c>
    </x:row>
    <x:row r="21" ht="40" customHeight="1">
      <x:c r="A21" s="139" t="str">
        <x:v>IP 마스터 바이블</x:v>
      </x:c>
      <x:c r="B21" s="139" t="str">
        <x:v>완료</x:v>
      </x:c>
      <x:c r="C21" s="139" t="str">
        <x:v>핵심 철학·웹툰·게임 공통 문법 확정</x:v>
      </x:c>
      <x:c r="D21" s="139" t="str">
        <x:v>차기 통합 시 v1.1 패치 반영</x:v>
      </x:c>
    </x:row>
    <x:row r="22" ht="40" customHeight="1">
      <x:c r="A22" s="139" t="str">
        <x:v>제1부 28화 캐논 재매핑</x:v>
      </x:c>
      <x:c r="B22" s="139" t="str">
        <x:v>완료</x:v>
      </x:c>
      <x:c r="C22" s="139" t="str">
        <x:v>구형 24화 좌표를 현행 28화 사건에 재연결</x:v>
      </x:c>
      <x:c r="D22" s="139" t="str">
        <x:v>충돌 항목은 작가 결정 대기</x:v>
      </x:c>
    </x:row>
    <x:row r="23" ht="40" customHeight="1">
      <x:c r="A23" s="139" t="str">
        <x:v>EP01 282컷 태깅</x:v>
      </x:c>
      <x:c r="B23" s="139" t="str">
        <x:v>완료 v2.0</x:v>
      </x:c>
      <x:c r="C23" s="139" t="str">
        <x:v>미회수 밑밥·제작 오류 분리 + CUT199·226·247 편집 분할 확정</x:v>
      </x:c>
      <x:c r="D23" s="139" t="str">
        <x:v>EP01 전 컷 연재 구현 완료</x:v>
      </x:c>
    </x:row>
    <x:row r="24" ht="40" customHeight="1">
      <x:c r="A24" s="139" t="str">
        <x:v>CUT001~040 연재 구현</x:v>
      </x:c>
      <x:c r="B24" s="139" t="str">
        <x:v>완료 v1.0</x:v>
      </x:c>
      <x:c r="C24" s="139" t="str">
        <x:v>문서·옥상·셔터 기억·반보까지 패널·여백·회독·게임 에코 잠금</x:v>
      </x:c>
      <x:c r="D24" s="139" t="str">
        <x:v>후속 구현 완료</x:v>
      </x:c>
    </x:row>
    <x:row r="25" ht="42" customHeight="1">
      <x:c r="A25" s="139" t="str">
        <x:v>CUT041~080 연재 구현</x:v>
      </x:c>
      <x:c r="B25" s="139" t="str">
        <x:v>완료 v1.0</x:v>
      </x:c>
      <x:c r="C25" s="139" t="str">
        <x:v>카인의 첫 대사·벙커 생활권·한 장인·날짜 없는 빚 구현</x:v>
      </x:c>
      <x:c r="D25" s="139" t="str">
        <x:v>후속 구현 완료</x:v>
      </x:c>
    </x:row>
    <x:row r="26" ht="42" customHeight="1">
      <x:c r="A26" s="139" t="str">
        <x:v>CUT081~110 연재 구현</x:v>
      </x:c>
      <x:c r="B26" s="139" t="str">
        <x:v>완료 v1.0</x:v>
      </x:c>
      <x:c r="C26" s="139" t="str">
        <x:v>2년 무등록·등급의 가격·스캔·C 상단·카인의 질문 구현</x:v>
      </x:c>
      <x:c r="D26" s="139" t="str">
        <x:v>후속 구현 완료</x:v>
      </x:c>
    </x:row>
    <x:row r="27">
      <x:c r="A27" t="str">
        <x:v>CUT111~136 연재 구현</x:v>
      </x:c>
      <x:c r="B27" t="str">
        <x:v>완료 v1.0</x:v>
      </x:c>
      <x:c r="C27" t="str">
        <x:v>유진의 수기 장부·일곱 권·반복 평가·이름과 빈칸·등급의 정체 질문 구현</x:v>
      </x:c>
      <x:c r="D27" t="str">
        <x:v>다음: CUT137~165</x:v>
      </x:c>
    </x:row>
    <x:row r="28" ht="40.5" customHeight="1">
      <x:c r="A28" s="303" t="str">
        <x:v>CUT137~165 연재 구현</x:v>
      </x:c>
      <x:c r="B28" s="304" t="str">
        <x:v>완료 v1.0</x:v>
      </x:c>
      <x:c r="C28" s="304" t="str">
        <x:v>마태오 사무소·보지 않는 CRT·의뢰·훈련장 진입·반보·강공 직전 구현</x:v>
      </x:c>
      <x:c r="D28" s="305" t="str">
        <x:v>후속 구현 완료</x:v>
      </x:c>
    </x:row>
    <x:row r="29" ht="40.5" customHeight="1">
      <x:c r="A29" s="303" t="str">
        <x:v>CUT166~200 연재 구현</x:v>
      </x:c>
      <x:c r="B29" s="304" t="str">
        <x:v>완료 v1.0</x:v>
      </x:c>
      <x:c r="C29" s="304" t="str">
        <x:v>첫 타격·문양 각성·보스 공개·이중 음성·5단계 예비동작·선제 진입 구현</x:v>
      </x:c>
      <x:c r="D29" s="305" t="str">
        <x:v>후속 구현 완료</x:v>
      </x:c>
    </x:row>
    <x:row r="30" ht="40.5" customHeight="1">
      <x:c r="A30" s="303" t="str">
        <x:v>CUT201~250 연재 구현</x:v>
      </x:c>
      <x:c r="B30" s="304" t="str">
        <x:v>완료 v1.0</x:v>
      </x:c>
      <x:c r="C30" s="304" t="str">
        <x:v>거리 실패·카인 고정·정답 거리·스위트 스폿·결정/가루 회수 구현</x:v>
      </x:c>
      <x:c r="D30" s="305" t="str">
        <x:v>후속 구현 완료</x:v>
      </x:c>
    </x:row>
    <x:row r="31" ht="40.5" customHeight="1">
      <x:c r="A31" s="306" t="str">
        <x:v>CUT251~282 연재 구현</x:v>
      </x:c>
      <x:c r="B31" s="307" t="str">
        <x:v>완료 v1.0</x:v>
      </x:c>
      <x:c r="C31" s="307" t="str">
        <x:v>용병단 합격·손실 장부·저등급 상처 연속성·출격·C·C 엔딩 구현</x:v>
      </x:c>
      <x:c r="D31" s="308" t="str">
        <x:v>다음: EP01 최종 조판/작화</x:v>
      </x:c>
    </x:row>
  </x:sheetData>
  <x:mergeCells>
    <x:mergeCell ref="A1:D1"/>
    <x:mergeCell ref="A2:D2"/>
    <x:mergeCell ref="A4:D4"/>
    <x:mergeCell ref="A11:D11"/>
    <x:mergeCell ref="A19:D1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4" hidden="0" customWidth="1"/>
    <x:col min="4" max="4" width="14" hidden="0" customWidth="1"/>
    <x:col min="5" max="5" width="13" hidden="0" customWidth="1"/>
    <x:col min="6" max="6" width="13" hidden="0" customWidth="1"/>
    <x:col min="7" max="7" width="14" hidden="0" customWidth="1"/>
    <x:col min="8" max="8" width="24" hidden="0" customWidth="1"/>
    <x:col min="9" max="9" width="48" hidden="0" customWidth="1"/>
    <x:col min="10" max="10" width="42" hidden="0" customWidth="1"/>
    <x:col min="11" max="11" width="28" hidden="0" customWidth="1"/>
    <x:col min="12" max="12" width="30" hidden="0" customWidth="1"/>
    <x:col min="13" max="13" width="34" hidden="0" customWidth="1"/>
    <x:col min="14" max="14" width="36" hidden="0" customWidth="1"/>
    <x:col min="15" max="15" width="36" hidden="0" customWidth="1"/>
    <x:col min="16" max="16" width="38" hidden="0" customWidth="1"/>
    <x:col min="17" max="17" width="42" hidden="0" customWidth="1"/>
    <x:col min="18" max="18" width="34" hidden="0" customWidth="1"/>
    <x:col min="19" max="19" width="14" hidden="0" customWidth="1"/>
  </x:cols>
  <x:sheetData>
    <x:row r="1" ht="30" customHeight="1">
      <x:c r="A1" s="147" t="str">
        <x:v>EP01 CUT001–040 — 실제 연재 구현 v1.0</x:v>
      </x:c>
      <x:c r="B1" s="147"/>
      <x:c r="C1" s="147"/>
      <x:c r="D1" s="147"/>
      <x:c r="E1" s="147"/>
      <x:c r="F1" s="147"/>
      <x:c r="G1" s="147"/>
      <x:c r="H1" s="147"/>
      <x:c r="I1" s="147"/>
      <x:c r="J1" s="147"/>
      <x:c r="K1" s="147"/>
      <x:c r="L1" s="147"/>
      <x:c r="M1" s="147"/>
      <x:c r="N1" s="147"/>
      <x:c r="O1" s="147"/>
      <x:c r="P1" s="147"/>
      <x:c r="Q1" s="147"/>
      <x:c r="R1" s="147"/>
      <x:c r="S1" s="147"/>
    </x:row>
    <x:row r="2" ht="28" customHeight="1">
      <x:c r="A2" s="152" t="str">
        <x:v>문서 → 황혼의 서울 → 아인·코어·낫 → 셔터 기억 → 비어 있는 손 → 카인의 반보. 원본 40컷 유지 / 원본 패널 높이 18,170px / 계획 여백 4,745px / 예상 세로합 22,915px.</x:v>
      </x:c>
      <x:c r="B2" s="152"/>
      <x:c r="C2" s="152"/>
      <x:c r="D2" s="152"/>
      <x:c r="E2" s="152"/>
      <x:c r="F2" s="152"/>
      <x:c r="G2" s="152"/>
      <x:c r="H2" s="152"/>
      <x:c r="I2" s="152"/>
      <x:c r="J2" s="152"/>
      <x:c r="K2" s="152"/>
      <x:c r="L2" s="152"/>
      <x:c r="M2" s="152"/>
      <x:c r="N2" s="152"/>
      <x:c r="O2" s="152"/>
      <x:c r="P2" s="152"/>
      <x:c r="Q2" s="152"/>
      <x:c r="R2" s="152"/>
      <x:c r="S2" s="152"/>
    </x:row>
    <x:row r="4" ht="36" customHeight="1">
      <x:c r="A4" s="138" t="str">
        <x:v>CUT_ID</x:v>
      </x:c>
      <x:c r="B4" s="138" t="str">
        <x:v>BEAT</x:v>
      </x:c>
      <x:c r="C4" s="138" t="str">
        <x:v>PANEL_ROLE</x:v>
      </x:c>
      <x:c r="D4" s="138" t="str">
        <x:v>WIDTH_CLASS</x:v>
      </x:c>
      <x:c r="E4" s="138" t="str">
        <x:v>SOURCE_HEIGHT_PX</x:v>
      </x:c>
      <x:c r="F4" s="138" t="str">
        <x:v>TOP_GUTTER_PX</x:v>
      </x:c>
      <x:c r="G4" s="138" t="str">
        <x:v>BOTTOM_GUTTER_PX</x:v>
      </x:c>
      <x:c r="H4" s="138" t="str">
        <x:v>CAMERA</x:v>
      </x:c>
      <x:c r="I4" s="138" t="str">
        <x:v>ACTION_COMPOSITION</x:v>
      </x:c>
      <x:c r="J4" s="138" t="str">
        <x:v>TEXT_LAYOUT</x:v>
      </x:c>
      <x:c r="K4" s="138" t="str">
        <x:v>SFX_AUDIO</x:v>
      </x:c>
      <x:c r="L4" s="138" t="str">
        <x:v>COLOR_LIGHT</x:v>
      </x:c>
      <x:c r="M4" s="138" t="str">
        <x:v>FIRST_READ</x:v>
      </x:c>
      <x:c r="N4" s="138" t="str">
        <x:v>THIRD_READ</x:v>
      </x:c>
      <x:c r="O4" s="138" t="str">
        <x:v>FIFTH_READ</x:v>
      </x:c>
      <x:c r="P4" s="138" t="str">
        <x:v>GAME_ECHO</x:v>
      </x:c>
      <x:c r="Q4" s="138" t="str">
        <x:v>PRODUCTION_LOCK</x:v>
      </x:c>
      <x:c r="R4" s="138" t="str">
        <x:v>BENCHMARK_BALANCE</x:v>
      </x:c>
      <x:c r="S4" s="138" t="str">
        <x:v>STATUS</x:v>
      </x:c>
    </x:row>
    <x:row r="5" ht="88" customHeight="1">
      <x:c r="A5" s="166" t="str">
        <x:v>001</x:v>
      </x:c>
      <x:c r="B5" s="166" t="str">
        <x:v>A. 남은 문서</x:v>
      </x:c>
      <x:c r="C5" s="166" t="str">
        <x:v>국가 질서의 첫 균열</x:v>
      </x:c>
      <x:c r="D5" s="166" t="str">
        <x:v>72% 중앙</x:v>
      </x:c>
      <x:c r="E5" s="164" t="n">
        <x:v>560</x:v>
      </x:c>
      <x:c r="F5" s="164" t="n">
        <x:v>180</x:v>
      </x:c>
      <x:c r="G5" s="164" t="n">
        <x:v>90</x:v>
      </x:c>
      <x:c r="H5" s="159" t="str">
        <x:v>정면 스캔, 종이 전체가 보이는 고정 숏</x:v>
      </x:c>
      <x:c r="I5" s="159" t="str">
        <x:v>종이를 너무 깨끗하게 펴지 않는다. 접힌 선이 보고 항목을 가로지르고, 하단은 비어 있어 다음 문서로 시선이 떨어진다.</x:v>
      </x:c>
      <x:c r="J5" s="159" t="str">
        <x:v>날짜→1항→2항→4항 순으로 자연스럽게 읽힌다. 별도 나레이션·말풍선 없음.</x:v>
      </x:c>
      <x:c r="K5" s="159" t="str">
        <x:v>완전 무음.</x:v>
      </x:c>
      <x:c r="L5" s="159" t="str">
        <x:v>퇴색 회백지·먹색. 발광 없음.</x:v>
      </x:c>
      <x:c r="M5" s="159" t="str">
        <x:v>기존 무기가 통하지 않는 세계라는 사실을 즉시 안다.</x:v>
      </x:c>
      <x:c r="N5" s="159" t="str">
        <x:v>재난 초기에 국가도 답을 갖지 못했다는 기록으로 다시 읽힌다.</x:v>
      </x:c>
      <x:c r="O5" s="159" t="str">
        <x:v>황혼에서는 권위보다 현장의 판단이 먼저 온다는 감각.</x:v>
      </x:c>
      <x:c r="P5" s="159" t="str">
        <x:v>비조작 오프닝 로그. 플레이어가 세계 규칙을 문서로 먼저 접한다.</x:v>
      </x:c>
      <x:c r="Q5" s="159" t="str">
        <x:v>총기 실물 작화 금지. 한글 조판 오탈자 금지.</x:v>
      </x:c>
      <x:c r="R5" s="159" t="str">
        <x:v>정적 정보컷의 압박. 장식과 과장 배제.</x:v>
      </x:c>
      <x:c r="S5" s="159" t="str">
        <x:v>LOCKED_v1</x:v>
      </x:c>
    </x:row>
    <x:row r="6" ht="88" customHeight="1">
      <x:c r="A6" s="166" t="str">
        <x:v>002</x:v>
      </x:c>
      <x:c r="B6" s="166" t="str">
        <x:v>A. 남은 문서</x:v>
      </x:c>
      <x:c r="C6" s="166" t="str">
        <x:v>명령 체계의 단절</x:v>
      </x:c>
      <x:c r="D6" s="166" t="str">
        <x:v>72% 중앙</x:v>
      </x:c>
      <x:c r="E6" s="164" t="n">
        <x:v>560</x:v>
      </x:c>
      <x:c r="F6" s="164" t="n">
        <x:v>90</x:v>
      </x:c>
      <x:c r="G6" s="164" t="n">
        <x:v>120</x:v>
      </x:c>
      <x:c r="H6" s="159" t="str">
        <x:v>정면 스캔, 하단이 프레임 밖으로 잘린 문서</x:v>
      </x:c>
      <x:c r="I6" s="159" t="str">
        <x:v>문서 하단이 문장 중간에서 끊기도록 실제 컷 경계와 맞춘다. ‘다음 장은 없다’를 그림 밖 설명으로 넣지 않는다.</x:v>
      </x:c>
      <x:c r="J6" s="159" t="str">
        <x:v>제목은 상단. 마지막 ‘—’가 컷 하단 가까이에 걸려 다음 스크롤을 유도.</x:v>
      </x:c>
      <x:c r="K6" s="159" t="str">
        <x:v>완전 무음.</x:v>
      </x:c>
      <x:c r="L6" s="159" t="str">
        <x:v>첫 문서보다 조금 더 창백한 종이. 검은 글자만 남는다.</x:v>
      </x:c>
      <x:c r="M6" s="159" t="str">
        <x:v>대응 명령조차 완성되지 못했다.</x:v>
      </x:c>
      <x:c r="N6" s="159" t="str">
        <x:v>정보가 부족해서가 아니라 체계가 먼저 끊겼다는 사실이 보인다.</x:v>
      </x:c>
      <x:c r="O6" s="159" t="str">
        <x:v>미완성 기록을 보고 스스로 판단하는 황혼식 독해.</x:v>
      </x:c>
      <x:c r="P6" s="159" t="str">
        <x:v>결손 로그. 게임에서도 일부 기록은 완성된 답을 주지 않는다.</x:v>
      </x:c>
      <x:c r="Q6" s="159" t="str">
        <x:v>잘린 문장을 임의 완성하지 않는다.</x:v>
      </x:c>
      <x:c r="R6" s="159" t="str">
        <x:v>정보를 설명하지 않고 단절 자체로 긴장.</x:v>
      </x:c>
      <x:c r="S6" s="159" t="str">
        <x:v>LOCKED_v1</x:v>
      </x:c>
    </x:row>
    <x:row r="7" ht="88" customHeight="1">
      <x:c r="A7" s="166" t="str">
        <x:v>003</x:v>
      </x:c>
      <x:c r="B7" s="166" t="str">
        <x:v>A. 남은 문서</x:v>
      </x:c>
      <x:c r="C7" s="166" t="str">
        <x:v>현장에 남은 마지막 문장</x:v>
      </x:c>
      <x:c r="D7" s="166" t="str">
        <x:v>58% 중앙</x:v>
      </x:c>
      <x:c r="E7" s="164" t="n">
        <x:v>560</x:v>
      </x:c>
      <x:c r="F7" s="164" t="n">
        <x:v>110</x:v>
      </x:c>
      <x:c r="G7" s="164" t="n">
        <x:v>360</x:v>
      </x:c>
      <x:c r="H7" s="159" t="str">
        <x:v>종이 조각 ECU, 주변은 넓은 검정 여백</x:v>
      </x:c>
      <x:c r="I7" s="159" t="str">
        <x:v>찢긴 귀퉁이가 아래 오른쪽. 손글씨는 농담처럼 반듯하지 않고, 한 번 눌러 쓴 흔적이 남는다.</x:v>
      </x:c>
      <x:c r="J7" s="159" t="str">
        <x:v>두 줄을 중앙보다 약간 위에 둔다. 아래 여백이 문장의 무게를 받는다.</x:v>
      </x:c>
      <x:c r="K7" s="159" t="str">
        <x:v>무음. 종이 넘김 효과도 넣지 않는다.</x:v>
      </x:c>
      <x:c r="L7" s="159" t="str">
        <x:v>누렇게 바랜 종이, 검은 연필·볼펜. 붉은색 사용 금지.</x:v>
      </x:c>
      <x:c r="M7" s="159" t="str">
        <x:v>총알이 소용없다는 체념을 사람의 글씨로 체감.</x:v>
      </x:c>
      <x:c r="N7" s="159" t="str">
        <x:v>공문보다 이 한 줄이 더 정확한 현장 기록이었다고 읽힌다.</x:v>
      </x:c>
      <x:c r="O7" s="159" t="str">
        <x:v>황혼의 언어는 제도보다 남은 사람의 짧은 판단에서 생긴다.</x:v>
      </x:c>
      <x:c r="P7" s="159" t="str">
        <x:v>수집 로그의 대표 문장. 팬덤이 기억할 첫 세계 언어.</x:v>
      </x:c>
      <x:c r="Q7" s="159" t="str">
        <x:v>정확한 문구 유지. 장난스러운 필체 금지.</x:v>
      </x:c>
      <x:c r="R7" s="159" t="str">
        <x:v>짧은 문장 뒤 대형 공백으로 잔향.</x:v>
      </x:c>
      <x:c r="S7" s="159" t="str">
        <x:v>LOCKED_v1</x:v>
      </x:c>
    </x:row>
    <x:row r="8" ht="88" customHeight="1">
      <x:c r="A8" s="167" t="str">
        <x:v>004</x:v>
      </x:c>
      <x:c r="B8" s="167" t="str">
        <x:v>B. 황혼의 서울</x:v>
      </x:c>
      <x:c r="C8" s="167" t="str">
        <x:v>세계 첫 전경</x:v>
      </x:c>
      <x:c r="D8" s="167" t="str">
        <x:v>100% 블리드</x:v>
      </x:c>
      <x:c r="E8" s="164" t="n">
        <x:v>1500</x:v>
      </x:c>
      <x:c r="F8" s="164" t="n">
        <x:v>0</x:v>
      </x:c>
      <x:c r="G8" s="164" t="n">
        <x:v>120</x:v>
      </x:c>
      <x:c r="H8" s="159" t="str">
        <x:v>초광각 하이앵글, 도시 전체</x:v>
      </x:c>
      <x:c r="I8" s="159" t="str">
        <x:v>붉은 안개가 옥상 높이 차이를 따라 층을 만들고, 반파된 남산타워는 오른쪽 원경 1/3에 작게 둔다. 인물은 아직 보이지 않는다.</x:v>
      </x:c>
      <x:c r="J8" s="159" t="str">
        <x:v>텍스트 없음. SFX는 하단 1/3 바깥쪽에 작게.</x:v>
      </x:c>
      <x:c r="K8" s="159" t="str">
        <x:v>‘웅… 웅…’을 공간음처럼 두 번, 글자 크기 차이 없이.</x:v>
      </x:c>
      <x:c r="L8" s="159" t="str">
        <x:v>보라·핏빛 하늘, 엠버 없음. 모든 창문은 죽어 있다.</x:v>
      </x:c>
      <x:c r="M8" s="159" t="str">
        <x:v>서울이 이미 다른 생태가 되었다는 압도감.</x:v>
      </x:c>
      <x:c r="N8" s="159" t="str">
        <x:v>벙커가 살아 있는 것이 얼마나 비정상인지 대비되는 기준 전경.</x:v>
      </x:c>
      <x:c r="O8" s="159" t="str">
        <x:v>황혼은 배경색이 아니라 세계 전체의 상태로 체화.</x:v>
      </x:c>
      <x:c r="P8" s="159" t="str">
        <x:v>게임 월드 첫 환경 카메라. 남산타워는 방향 감각용 랜드마크.</x:v>
      </x:c>
      <x:c r="Q8" s="159" t="str">
        <x:v>도시 불빛 금지. 하늘과 안개가 주광원.</x:v>
      </x:c>
      <x:c r="R8" s="159" t="str">
        <x:v>큰 광경은 크되 길과 높낮이는 읽히게.</x:v>
      </x:c>
      <x:c r="S8" s="159" t="str">
        <x:v>LOCKED_v1</x:v>
      </x:c>
    </x:row>
    <x:row r="9" ht="88" customHeight="1">
      <x:c r="A9" s="167" t="str">
        <x:v>005</x:v>
      </x:c>
      <x:c r="B9" s="167" t="str">
        <x:v>B. 황혼의 서울</x:v>
      </x:c>
      <x:c r="C9" s="167" t="str">
        <x:v>세계의 병증</x:v>
      </x:c>
      <x:c r="D9" s="167" t="str">
        <x:v>92% 세로</x:v>
      </x:c>
      <x:c r="E9" s="164" t="n">
        <x:v>430</x:v>
      </x:c>
      <x:c r="F9" s="164" t="n">
        <x:v>70</x:v>
      </x:c>
      <x:c r="G9" s="164" t="n">
        <x:v>50</x:v>
      </x:c>
      <x:c r="H9" s="159" t="str">
        <x:v>하늘만 올려다보는 로우 틸트</x:v>
      </x:c>
      <x:c r="I9" s="159" t="str">
        <x:v>구름층 사이에 빛이 꺾이는 얇은 굴절대를 한 줄로 보이되, 특수효과처럼 번쩍이지 않는다.</x:v>
      </x:c>
      <x:c r="J9" s="159" t="str">
        <x:v>나레이션 ‘하늘이 앓고 있었다.’는 좌상단 작은 검정 박스 하나.</x:v>
      </x:c>
      <x:c r="K9" s="159" t="str">
        <x:v>아주 낮은 공기 진동. 별도 SFX 표기 없음.</x:v>
      </x:c>
      <x:c r="L9" s="159" t="str">
        <x:v>보라·진홍의 층. 흰 하이라이트 금지.</x:v>
      </x:c>
      <x:c r="M9" s="159" t="str">
        <x:v>하늘 자체가 정상적이지 않다는 첫 문장.</x:v>
      </x:c>
      <x:c r="N9" s="159" t="str">
        <x:v>나노 입자의 존재가 처음부터 화면에 있었다는 확인.</x:v>
      </x:c>
      <x:c r="O9" s="159" t="str">
        <x:v>황혼을 날씨가 아니라 살아 있는 징후처럼 받아들인다.</x:v>
      </x:c>
      <x:c r="P9" s="159" t="str">
        <x:v>환경 이상을 HUD 없이 시각적으로 읽는 튜토리얼.</x:v>
      </x:c>
      <x:c r="Q9" s="159" t="str">
        <x:v>굴절층 과강조 금지. OPEN 단서로 만들지 않는다.</x:v>
      </x:c>
      <x:c r="R9" s="159" t="str">
        <x:v>한 문장과 한 현상만 남기는 절제.</x:v>
      </x:c>
      <x:c r="S9" s="159" t="str">
        <x:v>LOCKED_v1</x:v>
      </x:c>
    </x:row>
    <x:row r="10" ht="88" customHeight="1">
      <x:c r="A10" s="167" t="str">
        <x:v>006</x:v>
      </x:c>
      <x:c r="B10" s="167" t="str">
        <x:v>B. 황혼의 서울</x:v>
      </x:c>
      <x:c r="C10" s="167" t="str">
        <x:v>붕괴의 생활 규모</x:v>
      </x:c>
      <x:c r="D10" s="167" t="str">
        <x:v>88%</x:v>
      </x:c>
      <x:c r="E10" s="164" t="n">
        <x:v>400</x:v>
      </x:c>
      <x:c r="F10" s="164" t="n">
        <x:v>35</x:v>
      </x:c>
      <x:c r="G10" s="164" t="n">
        <x:v>35</x:v>
      </x:c>
      <x:c r="H10" s="159" t="str">
        <x:v>부감, 고가도로와 버스</x:v>
      </x:c>
      <x:c r="I10" s="159" t="str">
        <x:v>뒤집힌 버스가 화면 대각선을 막고, 나노 결정은 덩굴처럼 잔해를 따라가며 사람이 쓰던 길을 덮는다.</x:v>
      </x:c>
      <x:c r="J10" s="159" t="str">
        <x:v>나레이션은 상단 좌측, 버스 실루엣과 겹치지 않게.</x:v>
      </x:c>
      <x:c r="K10" s="159" t="str">
        <x:v>멀리 금속이 우는 듯한 환경음만 암시.</x:v>
      </x:c>
      <x:c r="L10" s="159" t="str">
        <x:v>무채색 콘크리트 위 보라 반사. 결정 발광 없음.</x:v>
      </x:c>
      <x:c r="M10" s="159" t="str">
        <x:v>서울이 2년 동안 멈춰 있었다는 시간감.</x:v>
      </x:c>
      <x:c r="N10" s="159" t="str">
        <x:v>파괴가 사건이 아니라 일상이 된 세계로 다시 보인다.</x:v>
      </x:c>
      <x:c r="O10" s="159" t="str">
        <x:v>길을 볼 때 안전보다 막힌 경로부터 재는 사고.</x:v>
      </x:c>
      <x:c r="P10" s="159" t="str">
        <x:v>게임 레벨의 끊긴 이동축·우회로 사전 학습.</x:v>
      </x:c>
      <x:c r="Q10" s="159" t="str">
        <x:v>결정에 네온 발광 금지.</x:v>
      </x:c>
      <x:c r="R10" s="159" t="str">
        <x:v>배경 정보는 많지만 이동선은 명확.</x:v>
      </x:c>
      <x:c r="S10" s="159" t="str">
        <x:v>LOCKED_v1</x:v>
      </x:c>
    </x:row>
    <x:row r="11" ht="88" customHeight="1">
      <x:c r="A11" s="167" t="str">
        <x:v>007</x:v>
      </x:c>
      <x:c r="B11" s="167" t="str">
        <x:v>B. 황혼의 서울</x:v>
      </x:c>
      <x:c r="C11" s="167" t="str">
        <x:v>거짓 방향</x:v>
      </x:c>
      <x:c r="D11" s="167" t="str">
        <x:v>72% 중앙</x:v>
      </x:c>
      <x:c r="E11" s="164" t="n">
        <x:v>400</x:v>
      </x:c>
      <x:c r="F11" s="164" t="n">
        <x:v>65</x:v>
      </x:c>
      <x:c r="G11" s="164" t="n">
        <x:v>150</x:v>
      </x:c>
      <x:c r="H11" s="159" t="str">
        <x:v>간판 CU, 화살표 너머 원근</x:v>
      </x:c>
      <x:c r="I11" s="159" t="str">
        <x:v>간판은 화면 왼쪽. 화살표가 오른쪽 잔해를 가리키도록 한 프레임 안에서 약속과 실패를 동시에 보인다.</x:v>
      </x:c>
      <x:c r="J11" s="159" t="str">
        <x:v>텍스트는 간판 글자만. 별도 설명 없음.</x:v>
      </x:c>
      <x:c r="K11" s="159" t="str">
        <x:v>‘치지직—’은 간판 가장자리에서 작게 끊긴 형태.</x:v>
      </x:c>
      <x:c r="L11" s="159" t="str">
        <x:v>잔류 글리치만 희미한 회백. 조명처럼 빛나지 않는다.</x:v>
      </x:c>
      <x:c r="M11" s="159" t="str">
        <x:v>대피소가 더는 대피소가 아니라는 즉각적 역설.</x:v>
      </x:c>
      <x:c r="N11" s="159" t="str">
        <x:v>살아남은 표지판과 사라진 기능의 차이를 읽는다.</x:v>
      </x:c>
      <x:c r="O11" s="159" t="str">
        <x:v>황혼에서 표시는 믿지 않고 공간을 직접 확인한다.</x:v>
      </x:c>
      <x:c r="P11" s="159" t="str">
        <x:v>게임 탐색 규칙: 표지판은 정보지만 안전 보증은 아니다.</x:v>
      </x:c>
      <x:c r="Q11" s="159" t="str">
        <x:v>간판 자체를 발광 간판으로 만들지 않는다.</x:v>
      </x:c>
      <x:c r="R11" s="159" t="str">
        <x:v>한 프레임 안에서 정보와 배신을 읽히게.</x:v>
      </x:c>
      <x:c r="S11" s="159" t="str">
        <x:v>LOCKED_v1</x:v>
      </x:c>
    </x:row>
    <x:row r="12" ht="88" customHeight="1">
      <x:c r="A12" s="167" t="str">
        <x:v>008</x:v>
      </x:c>
      <x:c r="B12" s="167" t="str">
        <x:v>B. 황혼의 서울</x:v>
      </x:c>
      <x:c r="C12" s="167" t="str">
        <x:v>아인의 첫 실루엣</x:v>
      </x:c>
      <x:c r="D12" s="167" t="str">
        <x:v>100%</x:v>
      </x:c>
      <x:c r="E12" s="164" t="n">
        <x:v>560</x:v>
      </x:c>
      <x:c r="F12" s="164" t="n">
        <x:v>90</x:v>
      </x:c>
      <x:c r="G12" s="164" t="n">
        <x:v>220</x:v>
      </x:c>
      <x:c r="H12" s="159" t="str">
        <x:v>롱숏, 옥상 가장자리 후면</x:v>
      </x:c>
      <x:c r="I12" s="159" t="str">
        <x:v>아인은 화면 하단 1/4에 작게. 낫의 대각선이 도시 수평선과 충돌해 인물만의 방향을 만든다.</x:v>
      </x:c>
      <x:c r="J12" s="159" t="str">
        <x:v>첫 나레이션은 상단, 두 번째 ‘그냥 황혼이라고 불렀다.’는 인물 근처가 아니라 하단 빈 공간에 분리.</x:v>
      </x:c>
      <x:c r="K12" s="159" t="str">
        <x:v>바람과 안개 마찰음. 표기 없음.</x:v>
      </x:c>
      <x:c r="L12" s="159" t="str">
        <x:v>도시는 보라·핏빛, 아인은 거의 검은 실루엣.</x:v>
      </x:c>
      <x:c r="M12" s="159" t="str">
        <x:v>주인공보다 세계가 먼저 크다는 인상.</x:v>
      </x:c>
      <x:c r="N12" s="159" t="str">
        <x:v>아인이 황혼을 바라보는 사람이 아니라 그 안에 오래 서 있던 사람으로 보인다.</x:v>
      </x:c>
      <x:c r="O12" s="159" t="str">
        <x:v>인물을 중심에 두지 않는 황혼의 거리 감각.</x:v>
      </x:c>
      <x:c r="P12" s="159" t="str">
        <x:v>게임 시작 시 플레이어 캐릭터보다 월드가 먼저 제시되는 카메라.</x:v>
      </x:c>
      <x:c r="Q12" s="159" t="str">
        <x:v>낫 실루엣 명료. 얼굴 공개 금지.</x:v>
      </x:c>
      <x:c r="R12" s="159" t="str">
        <x:v>대형 전경 뒤 작은 인물로 위계 설정.</x:v>
      </x:c>
      <x:c r="S12" s="159" t="str">
        <x:v>LOCKED_v1</x:v>
      </x:c>
    </x:row>
    <x:row r="13" ht="88" customHeight="1">
      <x:c r="A13" s="168" t="str">
        <x:v>009</x:v>
      </x:c>
      <x:c r="B13" s="168" t="str">
        <x:v>C. 아인·코어·낫</x:v>
      </x:c>
      <x:c r="C13" s="168" t="str">
        <x:v>아인의 첫 측면</x:v>
      </x:c>
      <x:c r="D13" s="168" t="str">
        <x:v>72%</x:v>
      </x:c>
      <x:c r="E13" s="164" t="n">
        <x:v>470</x:v>
      </x:c>
      <x:c r="F13" s="164" t="n">
        <x:v>45</x:v>
      </x:c>
      <x:c r="G13" s="164" t="n">
        <x:v>30</x:v>
      </x:c>
      <x:c r="H13" s="159" t="str">
        <x:v>MS 측면, 흉상~허리</x:v>
      </x:c>
      <x:c r="I13" s="159" t="str">
        <x:v>바람이 머리카락 일부만 움직인다. 눈은 정면 아래가 아니라 도시 원경을 통과해 본다.</x:v>
      </x:c>
      <x:c r="J13" s="159" t="str">
        <x:v>텍스트 없음. 이름표·나이표 금지.</x:v>
      </x:c>
      <x:c r="K13" s="159" t="str">
        <x:v>바람 소리만.</x:v>
      </x:c>
      <x:c r="L13" s="159" t="str">
        <x:v>피부는 창백, 머리는 검정에 회색 반사. 엠버 아직 최소.</x:v>
      </x:c>
      <x:c r="M13" s="159" t="str">
        <x:v>말 없는 얼굴과 오래 잠들지 못한 눈을 본다.</x:v>
      </x:c>
      <x:c r="N13" s="159" t="str">
        <x:v>표정보다 시선의 고정 시간이 인물의 과거를 말한다.</x:v>
      </x:c>
      <x:c r="O13" s="159" t="str">
        <x:v>감정을 이름으로 부르지 않고 미세한 연기로 읽는 방식.</x:v>
      </x:c>
      <x:c r="P13" s="159" t="str">
        <x:v>플레이어 캐릭터 아이들 포즈. 대기 모션의 기준.</x:v>
      </x:c>
      <x:c r="Q13" s="159" t="str">
        <x:v>왼쪽 견갑·오른쪽 건틀릿 좌우 고정.</x:v>
      </x:c>
      <x:c r="R13" s="159" t="str">
        <x:v>감정은 눈과 턱의 미세 연기, 과장 금지.</x:v>
      </x:c>
      <x:c r="S13" s="159" t="str">
        <x:v>LOCKED_v1</x:v>
      </x:c>
    </x:row>
    <x:row r="14" ht="88" customHeight="1">
      <x:c r="A14" s="168" t="str">
        <x:v>010</x:v>
      </x:c>
      <x:c r="B14" s="168" t="str">
        <x:v>C. 아인·코어·낫</x:v>
      </x:c>
      <x:c r="C14" s="168" t="str">
        <x:v>생존의 피부 질감</x:v>
      </x:c>
      <x:c r="D14" s="168" t="str">
        <x:v>60%</x:v>
      </x:c>
      <x:c r="E14" s="164" t="n">
        <x:v>400</x:v>
      </x:c>
      <x:c r="F14" s="164" t="n">
        <x:v>25</x:v>
      </x:c>
      <x:c r="G14" s="164" t="n">
        <x:v>30</x:v>
      </x:c>
      <x:c r="H14" s="159" t="str">
        <x:v>오른뺨 ECU</x:v>
      </x:c>
      <x:c r="I14" s="159" t="str">
        <x:v>사흘 된 피는 선홍이 아니라 갈색에 가깝고, 그을음과 경계가 섞인다. 피부 미용 보정 금지.</x:v>
      </x:c>
      <x:c r="J14" s="159" t="str">
        <x:v>텍스트 없음.</x:v>
      </x:c>
      <x:c r="K14" s="159" t="str">
        <x:v>무음.</x:v>
      </x:c>
      <x:c r="L14" s="159" t="str">
        <x:v>차가운 피부색, 마른 피만 탁한 적갈색.</x:v>
      </x:c>
      <x:c r="M14" s="159" t="str">
        <x:v>씻을 물조차 부족한 생활 상태.</x:v>
      </x:c>
      <x:c r="N14" s="159" t="str">
        <x:v>상처가 회차 사이에 자동으로 사라지지 않는 연속성의 첫 선언.</x:v>
      </x:c>
      <x:c r="O14" s="159" t="str">
        <x:v>몸의 상태를 장비처럼 읽는 황혼의 시선.</x:v>
      </x:c>
      <x:c r="P14" s="159" t="str">
        <x:v>게임 캐릭터 상태가 외형에 남는 비주얼 모델.</x:v>
      </x:c>
      <x:c r="Q14" s="159" t="str">
        <x:v>피의 위치·면적 연속성 기록.</x:v>
      </x:c>
      <x:c r="R14" s="159" t="str">
        <x:v>표정 대신 표면의 흔적으로 인물 설명.</x:v>
      </x:c>
      <x:c r="S14" s="159" t="str">
        <x:v>LOCKED_v1</x:v>
      </x:c>
    </x:row>
    <x:row r="15" ht="88" customHeight="1">
      <x:c r="A15" s="168" t="str">
        <x:v>011</x:v>
      </x:c>
      <x:c r="B15" s="168" t="str">
        <x:v>C. 아인·코어·낫</x:v>
      </x:c>
      <x:c r="C15" s="168" t="str">
        <x:v>스파인 코어 첫 노출</x:v>
      </x:c>
      <x:c r="D15" s="168" t="str">
        <x:v>64%</x:v>
      </x:c>
      <x:c r="E15" s="164" t="n">
        <x:v>430</x:v>
      </x:c>
      <x:c r="F15" s="164" t="n">
        <x:v>35</x:v>
      </x:c>
      <x:c r="G15" s="164" t="n">
        <x:v>45</x:v>
      </x:c>
      <x:c r="H15" s="159" t="str">
        <x:v>목덜미→등판 ECU</x:v>
      </x:c>
      <x:c r="I15" s="159" t="str">
        <x:v>옷 위로 비치는 선과 살을 뚫고 나온 결정의 경계를 동시에 보인다. 장신구처럼 정돈하지 않는다.</x:v>
      </x:c>
      <x:c r="J15" s="159" t="str">
        <x:v>텍스트 없음.</x:v>
      </x:c>
      <x:c r="K15" s="159" t="str">
        <x:v>‘지— 직’은 코어 가까이 작고 얇게.</x:v>
      </x:c>
      <x:c r="L15" s="159" t="str">
        <x:v>엠버 오렌지 최초 명확 발광. 주변 보라광보다 따뜻하지만 위안은 아니다.</x:v>
      </x:c>
      <x:c r="M15" s="159" t="str">
        <x:v>아인의 힘이 몸 안이 아니라 몸을 뚫고 있다는 불편함.</x:v>
      </x:c>
      <x:c r="N15" s="159" t="str">
        <x:v>각인이 선물보다 침입에 가깝다는 사실을 다시 확인.</x:v>
      </x:c>
      <x:c r="O15" s="159" t="str">
        <x:v>성장은 몸에 흔적을 남긴다는 황혼의 기본 감각.</x:v>
      </x:c>
      <x:c r="P15" s="159" t="str">
        <x:v>코어 상태를 HUD 대신 신체 발광·소리로 전달.</x:v>
      </x:c>
      <x:c r="Q15" s="159" t="str">
        <x:v>엠버 단독. 청록·전기 번개 금지.</x:v>
      </x:c>
      <x:c r="R15" s="159" t="str">
        <x:v>신체 기계성은 선명하되 고어 과장 금지.</x:v>
      </x:c>
      <x:c r="S15" s="159" t="str">
        <x:v>LOCKED_v1</x:v>
      </x:c>
    </x:row>
    <x:row r="16" ht="88" customHeight="1">
      <x:c r="A16" s="168" t="str">
        <x:v>012</x:v>
      </x:c>
      <x:c r="B16" s="168" t="str">
        <x:v>C. 아인·코어·낫</x:v>
      </x:c>
      <x:c r="C16" s="168" t="str">
        <x:v>심장과 코어의 박자</x:v>
      </x:c>
      <x:c r="D16" s="168" t="str">
        <x:v>56%</x:v>
      </x:c>
      <x:c r="E16" s="164" t="n">
        <x:v>380</x:v>
      </x:c>
      <x:c r="F16" s="164" t="n">
        <x:v>20</x:v>
      </x:c>
      <x:c r="G16" s="164" t="n">
        <x:v>25</x:v>
      </x:c>
      <x:c r="H16" s="159" t="str">
        <x:v>코어 CU, 고정</x:v>
      </x:c>
      <x:c r="I16" s="159" t="str">
        <x:v>한 컷 안에서 가장자리 잔광 농도 차이로 ‘밝아짐→가라앉음’을 보인다. 다중 프레임으로 늘리지 않는다.</x:v>
      </x:c>
      <x:c r="J16" s="159" t="str">
        <x:v>텍스트 없음.</x:v>
      </x:c>
      <x:c r="K16" s="159" t="str">
        <x:v>맥박 효과음 표기 없음. 독자가 빛의 박자를 보게 한다.</x:v>
      </x:c>
      <x:c r="L16" s="159" t="str">
        <x:v>엠버 밝기만 변하고 색상은 변하지 않는다.</x:v>
      </x:c>
      <x:c r="M16" s="159" t="str">
        <x:v>코어가 아인의 생체 리듬과 묶여 있음을 안다.</x:v>
      </x:c>
      <x:c r="N16" s="159" t="str">
        <x:v>무기와 같은 박자라는 다음 컷군의 준비.</x:v>
      </x:c>
      <x:c r="O16" s="159" t="str">
        <x:v>박자를 보는 것이 곧 전투와 생존의 언어가 된다.</x:v>
      </x:c>
      <x:c r="P16" s="159" t="str">
        <x:v>타이밍 기반 조작의 첫 무언 학습.</x:v>
      </x:c>
      <x:c r="Q16" s="159" t="str">
        <x:v>심장 모니터·게임 UI 금지.</x:v>
      </x:c>
      <x:c r="R16" s="159" t="str">
        <x:v>정적 컷 안에서 리듬을 시각화.</x:v>
      </x:c>
      <x:c r="S16" s="159" t="str">
        <x:v>LOCKED_v1</x:v>
      </x:c>
    </x:row>
    <x:row r="17" ht="88" customHeight="1">
      <x:c r="A17" s="168" t="str">
        <x:v>013</x:v>
      </x:c>
      <x:c r="B17" s="168" t="str">
        <x:v>C. 아인·코어·낫</x:v>
      </x:c>
      <x:c r="C17" s="168" t="str">
        <x:v>낫의 전신 소개</x:v>
      </x:c>
      <x:c r="D17" s="168" t="str">
        <x:v>72%</x:v>
      </x:c>
      <x:c r="E17" s="164" t="n">
        <x:v>400</x:v>
      </x:c>
      <x:c r="F17" s="164" t="n">
        <x:v>25</x:v>
      </x:c>
      <x:c r="G17" s="164" t="n">
        <x:v>30</x:v>
      </x:c>
      <x:c r="H17" s="159" t="str">
        <x:v>MS, 오른손과 무기 중심</x:v>
      </x:c>
      <x:c r="I17" s="159" t="str">
        <x:v>172cm 자루가 프레임을 세로로 가르고 초승달 칼날은 상단 밖으로 살짝 나간다. 농기구 실루엣을 유지.</x:v>
      </x:c>
      <x:c r="J17" s="159" t="str">
        <x:v>텍스트 없음.</x:v>
      </x:c>
      <x:c r="K17" s="159" t="str">
        <x:v>금속의 아주 낮은 떨림만.</x:v>
      </x:c>
      <x:c r="L17" s="159" t="str">
        <x:v>무광 철색. 칼날 전체 발광 금지.</x:v>
      </x:c>
      <x:c r="M17" s="159" t="str">
        <x:v>아인의 무기가 화려한 병기가 아니라 개조 도구임을 본다.</x:v>
      </x:c>
      <x:c r="N17" s="159" t="str">
        <x:v>무기의 형태가 거리와 반경을 강제한다는 사실이 보인다.</x:v>
      </x:c>
      <x:c r="O17" s="159" t="str">
        <x:v>무기는 성격 장식이 아니라 판단 방식을 만든다.</x:v>
      </x:c>
      <x:c r="P17" s="159" t="str">
        <x:v>게임 무기 클래스 소개: 긴 회전 반경·근접 사각.</x:v>
      </x:c>
      <x:c r="Q17" s="159" t="str">
        <x:v>오른손 고정. 자루 길이 축소 금지.</x:v>
      </x:c>
      <x:c r="R17" s="159" t="str">
        <x:v>실루엣 가독성과 실제 무게감 우선.</x:v>
      </x:c>
      <x:c r="S17" s="159" t="str">
        <x:v>LOCKED_v1</x:v>
      </x:c>
    </x:row>
    <x:row r="18" ht="88" customHeight="1">
      <x:c r="A18" s="168" t="str">
        <x:v>014</x:v>
      </x:c>
      <x:c r="B18" s="168" t="str">
        <x:v>C. 아인·코어·낫</x:v>
      </x:c>
      <x:c r="C18" s="168" t="str">
        <x:v>스위트 스폿의 씨앗</x:v>
      </x:c>
      <x:c r="D18" s="168" t="str">
        <x:v>58%</x:v>
      </x:c>
      <x:c r="E18" s="164" t="n">
        <x:v>400</x:v>
      </x:c>
      <x:c r="F18" s="164" t="n">
        <x:v>25</x:v>
      </x:c>
      <x:c r="G18" s="164" t="n">
        <x:v>55</x:v>
      </x:c>
      <x:c r="H18" s="159" t="str">
        <x:v>칼날 외곽 1/4 ECU</x:v>
      </x:c>
      <x:c r="I18" s="159" t="str">
        <x:v>발광은 끝 전체가 아니라 정확히 외곽 4분의 1 지점에만 입자성으로 고동친다.</x:v>
      </x:c>
      <x:c r="J18" s="159" t="str">
        <x:v>텍스트 없음.</x:v>
      </x:c>
      <x:c r="K18" s="159" t="str">
        <x:v>미세한 입자 마찰음. 표기하지 않음.</x:v>
      </x:c>
      <x:c r="L18" s="159" t="str">
        <x:v>엠버 단독, 칼날 본체는 어둡게.</x:v>
      </x:c>
      <x:c r="M18" s="159" t="str">
        <x:v>무기 끝에 특별한 지점이 있음을 눈으로 익힌다.</x:v>
      </x:c>
      <x:c r="N18" s="159" t="str">
        <x:v>후반의 ‘걸어서 끊는’ 원리가 처음부터 보였다는 확인.</x:v>
      </x:c>
      <x:c r="O18" s="159" t="str">
        <x:v>황혼의 액션은 힘보다 정확한 지점을 찾는 일.</x:v>
      </x:c>
      <x:c r="P18" s="159" t="str">
        <x:v>게임의 스위트 스폿 판정 위치를 시각적으로 선학습.</x:v>
      </x:c>
      <x:c r="Q18" s="159" t="str">
        <x:v>강조 테두리·조준선·UI 금지. 🎣 강도 유지.</x:v>
      </x:c>
      <x:c r="R18" s="159" t="str">
        <x:v>약점은 반짝이되 설명하지 않는다.</x:v>
      </x:c>
      <x:c r="S18" s="159" t="str">
        <x:v>LOCKED_v1</x:v>
      </x:c>
    </x:row>
    <x:row r="19" ht="88" customHeight="1">
      <x:c r="A19" s="168" t="str">
        <x:v>015</x:v>
      </x:c>
      <x:c r="B19" s="168" t="str">
        <x:v>C. 아인·코어·낫</x:v>
      </x:c>
      <x:c r="C19" s="168" t="str">
        <x:v>몸과 무기의 공명</x:v>
      </x:c>
      <x:c r="D19" s="168" t="str">
        <x:v>72% 2단</x:v>
      </x:c>
      <x:c r="E19" s="164" t="n">
        <x:v>520</x:v>
      </x:c>
      <x:c r="F19" s="164" t="n">
        <x:v>35</x:v>
      </x:c>
      <x:c r="G19" s="164" t="n">
        <x:v>120</x:v>
      </x:c>
      <x:c r="H19" s="159" t="str">
        <x:v>세로 2단 인서트, 동일 축</x:v>
      </x:c>
      <x:c r="I19" s="159" t="str">
        <x:v>위 코어와 아래 칼날 끝을 같은 크기·같은 중앙축으로 맞춘다. 두 빛의 밝기 단계도 동일.</x:v>
      </x:c>
      <x:c r="J19" s="159" t="str">
        <x:v>텍스트 없음. 두 패널 사이 간격은 좁게.</x:v>
      </x:c>
      <x:c r="K19" s="159" t="str">
        <x:v>무음.</x:v>
      </x:c>
      <x:c r="L19" s="159" t="str">
        <x:v>두 곳 모두 같은 엠버. 배경은 각각 피부·금속의 차가운 색.</x:v>
      </x:c>
      <x:c r="M19" s="159" t="str">
        <x:v>코어와 낫이 연결되어 있다는 사실을 감각적으로 이해.</x:v>
      </x:c>
      <x:c r="N19" s="159" t="str">
        <x:v>아인의 몸과 전투 방식이 분리될 수 없다는 의미.</x:v>
      </x:c>
      <x:c r="O19" s="159" t="str">
        <x:v>무기를 쓰는 것이 곧 자기 몸의 박자를 쓰는 일.</x:v>
      </x:c>
      <x:c r="P19" s="159" t="str">
        <x:v>공명 타이밍·무기 반응 시스템의 시각 언어.</x:v>
      </x:c>
      <x:c r="Q19" s="159" t="str">
        <x:v>두 발광 색·주기 완전 일치.</x:v>
      </x:c>
      <x:c r="R19" s="159" t="str">
        <x:v>대칭 구도로 규칙을 말없이 확정.</x:v>
      </x:c>
      <x:c r="S19" s="159" t="str">
        <x:v>LOCKED_v1</x:v>
      </x:c>
    </x:row>
    <x:row r="20" ht="88" customHeight="1">
      <x:c r="A20" s="168" t="str">
        <x:v>016</x:v>
      </x:c>
      <x:c r="B20" s="168" t="str">
        <x:v>C. 아인·코어·낫</x:v>
      </x:c>
      <x:c r="C20" s="168" t="str">
        <x:v>기억으로 내려가는 문</x:v>
      </x:c>
      <x:c r="D20" s="168" t="str">
        <x:v>78%</x:v>
      </x:c>
      <x:c r="E20" s="164" t="n">
        <x:v>620</x:v>
      </x:c>
      <x:c r="F20" s="164" t="n">
        <x:v>40</x:v>
      </x:c>
      <x:c r="G20" s="164" t="n">
        <x:v>300</x:v>
      </x:c>
      <x:c r="H20" s="159" t="str">
        <x:v>CU 정면, 눈 감김</x:v>
      </x:c>
      <x:c r="I20" s="159" t="str">
        <x:v>눈을 감는 순간 얼굴은 프레임 중앙보다 약간 위. 하단을 넓게 비워 다음 백색 기억으로 연결.</x:v>
      </x:c>
      <x:c r="J20" s="159" t="str">
        <x:v>나레이션 3행은 상단과 하단으로 나누지 말고 한 덩어리. 마지막 ‘원한뿐이다’ 뒤 충분한 빈 공간.</x:v>
      </x:c>
      <x:c r="K20" s="159" t="str">
        <x:v>바람이 끊긴다. 무음으로 전환.</x:v>
      </x:c>
      <x:c r="L20" s="159" t="str">
        <x:v>보라·엠버가 서서히 탈색되며 하단은 백색에 가까워진다.</x:v>
      </x:c>
      <x:c r="M20" s="159" t="str">
        <x:v>아인이 황혼 속에서 눈을 감는다.</x:v>
      </x:c>
      <x:c r="N20" s="159" t="str">
        <x:v>이 문장이 세계 설명이 아니라 반복되는 기억의 입구였음을 안다.</x:v>
      </x:c>
      <x:c r="O20" s="159" t="str">
        <x:v>황혼의 침묵은 과거가 현재를 덮는 순간으로 체화.</x:v>
      </x:c>
      <x:c r="P20" s="159" t="str">
        <x:v>컷신 진입 시 색·환경음 제거 규칙.</x:v>
      </x:c>
      <x:c r="Q20" s="159" t="str">
        <x:v>표정 변화 금지. 백색 전환은 자연스럽게.</x:v>
      </x:c>
      <x:c r="R20" s="159" t="str">
        <x:v>긴 문장 뒤 색과 소리를 걷어내는 정적.</x:v>
      </x:c>
      <x:c r="S20" s="159" t="str">
        <x:v>LOCKED_v1</x:v>
      </x:c>
    </x:row>
    <x:row r="21" ht="88" customHeight="1">
      <x:c r="A21" s="169" t="str">
        <x:v>017</x:v>
      </x:c>
      <x:c r="B21" s="169" t="str">
        <x:v>D. 미끄러진 손</x:v>
      </x:c>
      <x:c r="C21" s="169" t="str">
        <x:v>트라우마의 첫 소리</x:v>
      </x:c>
      <x:c r="D21" s="169" t="str">
        <x:v>68%</x:v>
      </x:c>
      <x:c r="E21" s="164" t="n">
        <x:v>420</x:v>
      </x:c>
      <x:c r="F21" s="164" t="n">
        <x:v>0</x:v>
      </x:c>
      <x:c r="G21" s="164" t="n">
        <x:v>25</x:v>
      </x:c>
      <x:c r="H21" s="159" t="str">
        <x:v>셔터 레일 ECU, 사선</x:v>
      </x:c>
      <x:c r="I21" s="159" t="str">
        <x:v>철판과 콘크리트가 맞닿는 한 점을 과노출. 화면 가장자리도 흰빛에 타서 공간 정보를 지운다.</x:v>
      </x:c>
      <x:c r="J21" s="159" t="str">
        <x:v>텍스트 없음.</x:v>
      </x:c>
      <x:c r="K21" s="159" t="str">
        <x:v>‘끼이이이—’를 세로로 길게, 컷 경계를 넘어가지 않게.</x:v>
      </x:c>
      <x:c r="L21" s="159" t="str">
        <x:v>완전 무채색·백색 과노출.</x:v>
      </x:c>
      <x:c r="M21" s="159" t="str">
        <x:v>셔터 소리가 기억을 시작한다.</x:v>
      </x:c>
      <x:c r="N21" s="159" t="str">
        <x:v>사건보다 먼저 소리가 남았다는 사실.</x:v>
      </x:c>
      <x:c r="O21" s="159" t="str">
        <x:v>위험을 볼 때보다 예비음에서 먼저 몸이 반응하는 황혼의 감각.</x:v>
      </x:c>
      <x:c r="P21" s="159" t="str">
        <x:v>보스 예비동작을 소리로 읽는 튜토리얼의 감정적 기원.</x:v>
      </x:c>
      <x:c r="Q21" s="159" t="str">
        <x:v>색 한 점도 금지.</x:v>
      </x:c>
      <x:c r="R21" s="159" t="str">
        <x:v>소리 하나로 국면 전환.</x:v>
      </x:c>
      <x:c r="S21" s="159" t="str">
        <x:v>LOCKED_v1</x:v>
      </x:c>
    </x:row>
    <x:row r="22" ht="88" customHeight="1">
      <x:c r="A22" s="169" t="str">
        <x:v>018</x:v>
      </x:c>
      <x:c r="B22" s="169" t="str">
        <x:v>D. 미끄러진 손</x:v>
      </x:c>
      <x:c r="C22" s="169" t="str">
        <x:v>시간 착각 1</x:v>
      </x:c>
      <x:c r="D22" s="169" t="str">
        <x:v>60%</x:v>
      </x:c>
      <x:c r="E22" s="164" t="n">
        <x:v>360</x:v>
      </x:c>
      <x:c r="F22" s="164" t="n">
        <x:v>20</x:v>
      </x:c>
      <x:c r="G22" s="164" t="n">
        <x:v>20</x:v>
      </x:c>
      <x:c r="H22" s="159" t="str">
        <x:v>셔터 하단 인서트, 틈 27%</x:v>
      </x:c>
      <x:c r="I22" s="159" t="str">
        <x:v>밝은 틈이 화면의 1/4 이상 남아 ‘아직 가능하다’는 착각을 만든다.</x:v>
      </x:c>
      <x:c r="J22" s="159" t="str">
        <x:v>나레이션은 상단, 틈과 겹치지 않게.</x:v>
      </x:c>
      <x:c r="K22" s="159" t="str">
        <x:v>셔터 마찰음이 이어지지만 글자는 반복하지 않는다.</x:v>
      </x:c>
      <x:c r="L22" s="159" t="str">
        <x:v>무채색. 틈만 백색.</x:v>
      </x:c>
      <x:c r="M22" s="159" t="str">
        <x:v>아직 시간이 있어 보인다.</x:v>
      </x:c>
      <x:c r="N22" s="159" t="str">
        <x:v>기억이 실제보다 느리게 재생된다는 장치.</x:v>
      </x:c>
      <x:c r="O22" s="159" t="str">
        <x:v>황혼에서 반 박자는 희망이 아니라 판단의 함정이 될 수 있다.</x:v>
      </x:c>
      <x:c r="P22" s="159" t="str">
        <x:v>슬로 모션 실패 회상. 시간 감각을 조작으로 번역.</x:v>
      </x:c>
      <x:c r="Q22" s="159" t="str">
        <x:v>틈 비율 27% 유지.</x:v>
      </x:c>
      <x:c r="R22" s="159" t="str">
        <x:v>같은 구도를 수치처럼 줄여 긴장.</x:v>
      </x:c>
      <x:c r="S22" s="159" t="str">
        <x:v>LOCKED_v1</x:v>
      </x:c>
    </x:row>
    <x:row r="23" ht="88" customHeight="1">
      <x:c r="A23" s="169" t="str">
        <x:v>019</x:v>
      </x:c>
      <x:c r="B23" s="169" t="str">
        <x:v>D. 미끄러진 손</x:v>
      </x:c>
      <x:c r="C23" s="169" t="str">
        <x:v>시간 착각 2</x:v>
      </x:c>
      <x:c r="D23" s="169" t="str">
        <x:v>58%</x:v>
      </x:c>
      <x:c r="E23" s="164" t="n">
        <x:v>360</x:v>
      </x:c>
      <x:c r="F23" s="164" t="n">
        <x:v>15</x:v>
      </x:c>
      <x:c r="G23" s="164" t="n">
        <x:v>35</x:v>
      </x:c>
      <x:c r="H23" s="159" t="str">
        <x:v>동일 인서트, 틈 16%</x:v>
      </x:c>
      <x:c r="I23" s="159" t="str">
        <x:v>카메라 높이·각도는 018과 완전 동일. 변화는 틈의 폭뿐.</x:v>
      </x:c>
      <x:c r="J23" s="159" t="str">
        <x:v>두 번째 나레이션은 하단이 아니라 상단 같은 위치에 두어 반복감을 만든다.</x:v>
      </x:c>
      <x:c r="K23" s="159" t="str">
        <x:v>마찰음 지속.</x:v>
      </x:c>
      <x:c r="L23" s="159" t="str">
        <x:v>무채색·백색.</x:v>
      </x:c>
      <x:c r="M23" s="159" t="str">
        <x:v>틈이 줄어도 아직 잡을 수 있다고 믿게 된다.</x:v>
      </x:c>
      <x:c r="N23" s="159" t="str">
        <x:v>‘아직’이라는 단어가 사건의 핵심 오판이었다고 읽힌다.</x:v>
      </x:c>
      <x:c r="O23" s="159" t="str">
        <x:v>거리와 시간은 느낌이 아니라 실제 조건으로 재야 한다.</x:v>
      </x:c>
      <x:c r="P23" s="159" t="str">
        <x:v>카운트다운 환경 기믹의 시각 언어.</x:v>
      </x:c>
      <x:c r="Q23" s="159" t="str">
        <x:v>018과 동일 렌즈·프레이밍.</x:v>
      </x:c>
      <x:c r="R23" s="159" t="str">
        <x:v>반복 구도의 미세 변화로 압박.</x:v>
      </x:c>
      <x:c r="S23" s="159" t="str">
        <x:v>LOCKED_v1</x:v>
      </x:c>
    </x:row>
    <x:row r="24" ht="88" customHeight="1">
      <x:c r="A24" s="169" t="str">
        <x:v>020</x:v>
      </x:c>
      <x:c r="B24" s="169" t="str">
        <x:v>D. 미끄러진 손</x:v>
      </x:c>
      <x:c r="C24" s="169" t="str">
        <x:v>잡은 관계</x:v>
      </x:c>
      <x:c r="D24" s="169" t="str">
        <x:v>62%</x:v>
      </x:c>
      <x:c r="E24" s="164" t="n">
        <x:v>330</x:v>
      </x:c>
      <x:c r="F24" s="164" t="n">
        <x:v>15</x:v>
      </x:c>
      <x:c r="G24" s="164" t="n">
        <x:v>15</x:v>
      </x:c>
      <x:c r="H24" s="159" t="str">
        <x:v>두 손 ECU</x:v>
      </x:c>
      <x:c r="I24" s="159" t="str">
        <x:v>작은 손의 짧은 손가락과 손톱 밑 때만 보인다. 팔·얼굴·옷으로 인물을 특정하지 않는다.</x:v>
      </x:c>
      <x:c r="J24" s="159" t="str">
        <x:v>텍스트 없음.</x:v>
      </x:c>
      <x:c r="K24" s="159" t="str">
        <x:v>무음에 가까움.</x:v>
      </x:c>
      <x:c r="L24" s="159" t="str">
        <x:v>백색 배경, 손의 회색 명암만.</x:v>
      </x:c>
      <x:c r="M24" s="159" t="str">
        <x:v>누군가의 손을 붙잡고 있었다.</x:v>
      </x:c>
      <x:c r="N24" s="159" t="str">
        <x:v>인물 정보보다 촉감과 크기만 남아 기억이 얼마나 좁아졌는지 보인다.</x:v>
      </x:c>
      <x:c r="O24" s="159" t="str">
        <x:v>황혼에서 사람은 이름보다 손의 무게로 먼저 기억된다.</x:v>
      </x:c>
      <x:c r="P24" s="159" t="str">
        <x:v>상호작용 버튼이 아니라 물리적 접촉의 중요성.</x:v>
      </x:c>
      <x:c r="Q24" s="159" t="str">
        <x:v>얼굴·성별·정체 단서 금지.</x:v>
      </x:c>
      <x:c r="R24" s="159" t="str">
        <x:v>감정 설명 없이 손의 크기로 관계 형성.</x:v>
      </x:c>
      <x:c r="S24" s="159" t="str">
        <x:v>LOCKED_v1</x:v>
      </x:c>
    </x:row>
    <x:row r="25" ht="88" customHeight="1">
      <x:c r="A25" s="169" t="str">
        <x:v>021</x:v>
      </x:c>
      <x:c r="B25" s="169" t="str">
        <x:v>D. 미끄러진 손</x:v>
      </x:c>
      <x:c r="C25" s="169" t="str">
        <x:v>놓치지 않으려는 힘</x:v>
      </x:c>
      <x:c r="D25" s="169" t="str">
        <x:v>58%</x:v>
      </x:c>
      <x:c r="E25" s="164" t="n">
        <x:v>330</x:v>
      </x:c>
      <x:c r="F25" s="164" t="n">
        <x:v>10</x:v>
      </x:c>
      <x:c r="G25" s="164" t="n">
        <x:v>15</x:v>
      </x:c>
      <x:c r="H25" s="159" t="str">
        <x:v>아인의 손아귀 ECU</x:v>
      </x:c>
      <x:c r="I25" s="159" t="str">
        <x:v>손등 힘줄과 눌린 피부를 보이되 고통 표정으로 전환하지 않는다.</x:v>
      </x:c>
      <x:c r="J25" s="159" t="str">
        <x:v>텍스트 없음.</x:v>
      </x:c>
      <x:c r="K25" s="159" t="str">
        <x:v>짧은 피부 마찰음 암시.</x:v>
      </x:c>
      <x:c r="L25" s="159" t="str">
        <x:v>무채색.</x:v>
      </x:c>
      <x:c r="M25" s="159" t="str">
        <x:v>손을 세게 쥐고 있음을 본다.</x:v>
      </x:c>
      <x:c r="N25" s="159" t="str">
        <x:v>놓친 것이 힘이 부족해서가 아니었다는 준비.</x:v>
      </x:c>
      <x:c r="O25" s="159" t="str">
        <x:v>보호는 힘의 크기보다 선택의 순서라는 감각.</x:v>
      </x:c>
      <x:c r="P25" s="159" t="str">
        <x:v>그립 유지·상호작용 지속의 시각적 전조.</x:v>
      </x:c>
      <x:c r="Q25" s="159" t="str">
        <x:v>손 외 인물 정보 금지.</x:v>
      </x:c>
      <x:c r="R25" s="159" t="str">
        <x:v>신체 디테일로 긴장 축적.</x:v>
      </x:c>
      <x:c r="S25" s="159" t="str">
        <x:v>LOCKED_v1</x:v>
      </x:c>
    </x:row>
    <x:row r="26" ht="88" customHeight="1">
      <x:c r="A26" s="169" t="str">
        <x:v>022</x:v>
      </x:c>
      <x:c r="B26" s="169" t="str">
        <x:v>D. 미끄러진 손</x:v>
      </x:c>
      <x:c r="C26" s="169" t="str">
        <x:v>카운트다운 9%</x:v>
      </x:c>
      <x:c r="D26" s="169" t="str">
        <x:v>56%</x:v>
      </x:c>
      <x:c r="E26" s="164" t="n">
        <x:v>330</x:v>
      </x:c>
      <x:c r="F26" s="164" t="n">
        <x:v>10</x:v>
      </x:c>
      <x:c r="G26" s="164" t="n">
        <x:v>10</x:v>
      </x:c>
      <x:c r="H26" s="159" t="str">
        <x:v>셔터 틈 동일 인서트</x:v>
      </x:c>
      <x:c r="I26" s="159" t="str">
        <x:v>018·019와 같은 프레임. 틈 9%로 줄고 바닥의 질감이 더 압축된다.</x:v>
      </x:c>
      <x:c r="J26" s="159" t="str">
        <x:v>텍스트 없음.</x:v>
      </x:c>
      <x:c r="K26" s="159" t="str">
        <x:v>‘끼이—’ 짧고 가늘게.</x:v>
      </x:c>
      <x:c r="L26" s="159" t="str">
        <x:v>무채색·백색.</x:v>
      </x:c>
      <x:c r="M26" s="159" t="str">
        <x:v>시간이 거의 없음을 안다.</x:v>
      </x:c>
      <x:c r="N26" s="159" t="str">
        <x:v>아인의 손이 움직인 순간과 셔터의 물리 시간이 겹친다.</x:v>
      </x:c>
      <x:c r="O26" s="159" t="str">
        <x:v>반 박자를 놓치면 기술보다 먼저 조건이 사라진다.</x:v>
      </x:c>
      <x:c r="P26" s="159" t="str">
        <x:v>보스 기믹의 남은 창을 환경 변화로 표현.</x:v>
      </x:c>
      <x:c r="Q26" s="159" t="str">
        <x:v>틈 9%. 구도 변경 금지.</x:v>
      </x:c>
      <x:c r="R26" s="159" t="str">
        <x:v>짧은 효과음으로 속도 상승.</x:v>
      </x:c>
      <x:c r="S26" s="159" t="str">
        <x:v>LOCKED_v1</x:v>
      </x:c>
    </x:row>
    <x:row r="27" ht="88" customHeight="1">
      <x:c r="A27" s="169" t="str">
        <x:v>023</x:v>
      </x:c>
      <x:c r="B27" s="169" t="str">
        <x:v>D. 미끄러진 손</x:v>
      </x:c>
      <x:c r="C27" s="169" t="str">
        <x:v>힘이 빠지는 순간</x:v>
      </x:c>
      <x:c r="D27" s="169" t="str">
        <x:v>58%</x:v>
      </x:c>
      <x:c r="E27" s="164" t="n">
        <x:v>330</x:v>
      </x:c>
      <x:c r="F27" s="164" t="n">
        <x:v>10</x:v>
      </x:c>
      <x:c r="G27" s="164" t="n">
        <x:v>10</x:v>
      </x:c>
      <x:c r="H27" s="159" t="str">
        <x:v>손아귀 ECU</x:v>
      </x:c>
      <x:c r="I27" s="159" t="str">
        <x:v>손가락 사이 간격이 아주 조금 생긴다. 손을 완전히 놓은 그림이 아니라 변화의 시작만 포착.</x:v>
      </x:c>
      <x:c r="J27" s="159" t="str">
        <x:v>텍스트 없음.</x:v>
      </x:c>
      <x:c r="K27" s="159" t="str">
        <x:v>무음.</x:v>
      </x:c>
      <x:c r="L27" s="159" t="str">
        <x:v>무채색.</x:v>
      </x:c>
      <x:c r="M27" s="159" t="str">
        <x:v>잡은 힘이 약해진다.</x:v>
      </x:c>
      <x:c r="N27" s="159" t="str">
        <x:v>우연이 아니라 다른 선택을 위해 힘을 뺐다는 다음 컷의 원인.</x:v>
      </x:c>
      <x:c r="O27" s="159" t="str">
        <x:v>황혼의 비극은 의도가 나빠서가 아니라 두 책임이 겹칠 때 생긴다.</x:v>
      </x:c>
      <x:c r="P27" s="159" t="str">
        <x:v>동시 처리 실패의 감정적 원형.</x:v>
      </x:c>
      <x:c r="Q27" s="159" t="str">
        <x:v>과장된 손 벌어짐 금지.</x:v>
      </x:c>
      <x:c r="R27" s="159" t="str">
        <x:v>미세 동작을 한 컷으로 확대.</x:v>
      </x:c>
      <x:c r="S27" s="159" t="str">
        <x:v>LOCKED_v1</x:v>
      </x:c>
    </x:row>
    <x:row r="28" ht="88" customHeight="1">
      <x:c r="A28" s="169" t="str">
        <x:v>024</x:v>
      </x:c>
      <x:c r="B28" s="169" t="str">
        <x:v>D. 미끄러진 손</x:v>
      </x:c>
      <x:c r="C28" s="169" t="str">
        <x:v>두 번째 손을 향한 선택</x:v>
      </x:c>
      <x:c r="D28" s="169" t="str">
        <x:v>60%</x:v>
      </x:c>
      <x:c r="E28" s="164" t="n">
        <x:v>330</x:v>
      </x:c>
      <x:c r="F28" s="164" t="n">
        <x:v>10</x:v>
      </x:c>
      <x:c r="G28" s="164" t="n">
        <x:v>15</x:v>
      </x:c>
      <x:c r="H28" s="159" t="str">
        <x:v>왼손 ECU, 프레임 끝</x:v>
      </x:c>
      <x:c r="I28" s="159" t="str">
        <x:v>다른 쪽으로 뻗는 손은 손목까지만. 목표는 프레임 밖에 두어 ‘누구를 잡으려 했는지’ 설명하지 않는다.</x:v>
      </x:c>
      <x:c r="J28" s="159" t="str">
        <x:v>텍스트 없음.</x:v>
      </x:c>
      <x:c r="K28" s="159" t="str">
        <x:v>공기 가르는 작은 소리만 암시.</x:v>
      </x:c>
      <x:c r="L28" s="159" t="str">
        <x:v>무채색.</x:v>
      </x:c>
      <x:c r="M28" s="159" t="str">
        <x:v>아인이 다른 쪽으로 손을 뻗는다.</x:v>
      </x:c>
      <x:c r="N28" s="159" t="str">
        <x:v>하나를 더 잡으려 했다는 선택이 드러난다.</x:v>
      </x:c>
      <x:c r="O28" s="159" t="str">
        <x:v>한 명을 위한 최선이 다른 한 명에게는 손실이 될 수 있다는 황혼의 책임.</x:v>
      </x:c>
      <x:c r="P28" s="159" t="str">
        <x:v>동시 목표를 다루는 파티 역할 필요성의 감정적 씨앗.</x:v>
      </x:c>
      <x:c r="Q28" s="159" t="str">
        <x:v>프레임 밖 대상 노출 금지.</x:v>
      </x:c>
      <x:c r="R28" s="159" t="str">
        <x:v>원인을 보여주되 정답·대상은 숨김.</x:v>
      </x:c>
      <x:c r="S28" s="159" t="str">
        <x:v>LOCKED_v1</x:v>
      </x:c>
    </x:row>
    <x:row r="29" ht="88" customHeight="1">
      <x:c r="A29" s="169" t="str">
        <x:v>025</x:v>
      </x:c>
      <x:c r="B29" s="169" t="str">
        <x:v>D. 미끄러진 손</x:v>
      </x:c>
      <x:c r="C29" s="169" t="str">
        <x:v>미끄러짐</x:v>
      </x:c>
      <x:c r="D29" s="169" t="str">
        <x:v>66%</x:v>
      </x:c>
      <x:c r="E29" s="164" t="n">
        <x:v>400</x:v>
      </x:c>
      <x:c r="F29" s="164" t="n">
        <x:v>20</x:v>
      </x:c>
      <x:c r="G29" s="164" t="n">
        <x:v>45</x:v>
      </x:c>
      <x:c r="H29" s="159" t="str">
        <x:v>손만 ECU, 중심 이탈</x:v>
      </x:c>
      <x:c r="I29" s="159" t="str">
        <x:v>작은 손이 대각선 아래로 빠지고, 아인의 손가락은 따라 닫히지만 닿지 않는다. 운동선은 쓰지 않는다.</x:v>
      </x:c>
      <x:c r="J29" s="159" t="str">
        <x:v>텍스트 없음.</x:v>
      </x:c>
      <x:c r="K29" s="159" t="str">
        <x:v>짧은 피부 마찰. 글자 표기 없음.</x:v>
      </x:c>
      <x:c r="L29" s="159" t="str">
        <x:v>완전 무채색.</x:v>
      </x:c>
      <x:c r="M29" s="159" t="str">
        <x:v>손이 빠져나간다.</x:v>
      </x:c>
      <x:c r="N29" s="159" t="str">
        <x:v>아인의 평생 남은 순간이 얼굴 없이 손만으로 고정된다.</x:v>
      </x:c>
      <x:c r="O29" s="159" t="str">
        <x:v>황혼의 상실은 설명보다 놓친 거리로 기억된다.</x:v>
      </x:c>
      <x:c r="P29" s="159" t="str">
        <x:v>실패 컷신의 핵심 이미지. 재도전 철학과 연결.</x:v>
      </x:c>
      <x:c r="Q29" s="159" t="str">
        <x:v>🔴 얼굴 절대 금지. 손 외 신체 노출 최소.</x:v>
      </x:c>
      <x:c r="R29" s="159" t="str">
        <x:v>결과 순간은 장식 없이 명확하게.</x:v>
      </x:c>
      <x:c r="S29" s="159" t="str">
        <x:v>LOCKED_v1</x:v>
      </x:c>
    </x:row>
    <x:row r="30" ht="88" customHeight="1">
      <x:c r="A30" s="169" t="str">
        <x:v>026</x:v>
      </x:c>
      <x:c r="B30" s="169" t="str">
        <x:v>D. 미끄러진 손</x:v>
      </x:c>
      <x:c r="C30" s="169" t="str">
        <x:v>사라지는 접점</x:v>
      </x:c>
      <x:c r="D30" s="169" t="str">
        <x:v>58%</x:v>
      </x:c>
      <x:c r="E30" s="164" t="n">
        <x:v>360</x:v>
      </x:c>
      <x:c r="F30" s="164" t="n">
        <x:v>5</x:v>
      </x:c>
      <x:c r="G30" s="164" t="n">
        <x:v>15</x:v>
      </x:c>
      <x:c r="H30" s="159" t="str">
        <x:v>셔터 틈 4% + 손끝</x:v>
      </x:c>
      <x:c r="I30" s="159" t="str">
        <x:v>손끝이 프레임 바깥으로 사라지는 마지막 1~2cm만 보인다. 셔터가 화면 대부분을 차지.</x:v>
      </x:c>
      <x:c r="J30" s="159" t="str">
        <x:v>텍스트 없음.</x:v>
      </x:c>
      <x:c r="K30" s="159" t="str">
        <x:v>셔터음은 거의 끝난다.</x:v>
      </x:c>
      <x:c r="L30" s="159" t="str">
        <x:v>무채색·가는 백색 틈.</x:v>
      </x:c>
      <x:c r="M30" s="159" t="str">
        <x:v>다시 잡을 수 없게 됐다.</x:v>
      </x:c>
      <x:c r="N30" s="159" t="str">
        <x:v>아인의 기억에 남은 마지막 물리적 접점.</x:v>
      </x:c>
      <x:c r="O30" s="159" t="str">
        <x:v>황혼에서 실패는 되돌릴 수 없는 위치 변화로 남는다.</x:v>
      </x:c>
      <x:c r="P30" s="159" t="str">
        <x:v>상호작용 가능 거리 상실의 시각 규칙.</x:v>
      </x:c>
      <x:c r="Q30" s="159" t="str">
        <x:v>틈 4%. 얼굴·몸통 금지.</x:v>
      </x:c>
      <x:c r="R30" s="159" t="str">
        <x:v>화면 면적 자체로 가능성 소멸.</x:v>
      </x:c>
      <x:c r="S30" s="159" t="str">
        <x:v>LOCKED_v1</x:v>
      </x:c>
    </x:row>
    <x:row r="31" ht="88" customHeight="1">
      <x:c r="A31" s="169" t="str">
        <x:v>027</x:v>
      </x:c>
      <x:c r="B31" s="169" t="str">
        <x:v>D. 미끄러진 손</x:v>
      </x:c>
      <x:c r="C31" s="169" t="str">
        <x:v>마지막으로 보인 것</x:v>
      </x:c>
      <x:c r="D31" s="169" t="str">
        <x:v>64%</x:v>
      </x:c>
      <x:c r="E31" s="164" t="n">
        <x:v>420</x:v>
      </x:c>
      <x:c r="F31" s="164" t="n">
        <x:v>10</x:v>
      </x:c>
      <x:c r="G31" s="164" t="n">
        <x:v>130</x:v>
      </x:c>
      <x:c r="H31" s="159" t="str">
        <x:v>바닥 높이 인서트, 발목만</x:v>
      </x:c>
      <x:c r="I31" s="159" t="str">
        <x:v>머리카락·얼굴·상체 없이 작은 발과 발목만 백색 틈 너머에 둔다. 셔터가 위를 완전히 가린다.</x:v>
      </x:c>
      <x:c r="J31" s="159" t="str">
        <x:v>텍스트 없음.</x:v>
      </x:c>
      <x:c r="K31" s="159" t="str">
        <x:v>마찰음이 끊긴 직후의 무음.</x:v>
      </x:c>
      <x:c r="L31" s="159" t="str">
        <x:v>완전 무채색. 뒤쪽은 과노출.</x:v>
      </x:c>
      <x:c r="M31" s="159" t="str">
        <x:v>손의 주인이 틈 너머에 남았다.</x:v>
      </x:c>
      <x:c r="N31" s="159" t="str">
        <x:v>카인의 사정과 외전의 의미가 생긴 뒤 같은 발목이 다른 사람의 세계로 읽힌다.</x:v>
      </x:c>
      <x:c r="O31" s="159" t="str">
        <x:v>보호받지 못한 사람을 얼굴로 소비하지 않는 황혼의 시선.</x:v>
      </x:c>
      <x:c r="P31" s="159" t="str">
        <x:v>컷신 미스터리. 정체보다 위치를 기억하게 함.</x:v>
      </x:c>
      <x:c r="Q31" s="159" t="str">
        <x:v>발목 위 절대 노출 금지.</x:v>
      </x:c>
      <x:c r="R31" s="159" t="str">
        <x:v>잔혹함을 직접 묘사하지 않고 차단선으로 표현.</x:v>
      </x:c>
      <x:c r="S31" s="159" t="str">
        <x:v>LOCKED_v1</x:v>
      </x:c>
    </x:row>
    <x:row r="32" ht="88" customHeight="1">
      <x:c r="A32" s="169" t="str">
        <x:v>028</x:v>
      </x:c>
      <x:c r="B32" s="169" t="str">
        <x:v>D. 미끄러진 손</x:v>
      </x:c>
      <x:c r="C32" s="169" t="str">
        <x:v>닫힘</x:v>
      </x:c>
      <x:c r="D32" s="169" t="str">
        <x:v>100% 검정</x:v>
      </x:c>
      <x:c r="E32" s="164" t="n">
        <x:v>340</x:v>
      </x:c>
      <x:c r="F32" s="164" t="n">
        <x:v>0</x:v>
      </x:c>
      <x:c r="G32" s="164" t="n">
        <x:v>260</x:v>
      </x:c>
      <x:c r="H32" s="159" t="str">
        <x:v>순수 암전</x:v>
      </x:c>
      <x:c r="I32" s="159" t="str">
        <x:v>완전 검정. 중앙보다 약간 아래에 작은 소리만 남긴다.</x:v>
      </x:c>
      <x:c r="J32" s="159" t="str">
        <x:v>텍스트 없음.</x:v>
      </x:c>
      <x:c r="K32" s="159" t="str">
        <x:v>‘쿵.’ 한 글자 크기 작게, 장식 없는 명조 또는 고딕.</x:v>
      </x:c>
      <x:c r="L32" s="159" t="str">
        <x:v>순수 검정.</x:v>
      </x:c>
      <x:c r="M32" s="159" t="str">
        <x:v>셔터가 닫혔다.</x:v>
      </x:c>
      <x:c r="N32" s="159" t="str">
        <x:v>사건 전체보다 이 한 번의 닫힘이 두 사람의 이후를 만들었다.</x:v>
      </x:c>
      <x:c r="O32" s="159" t="str">
        <x:v>황혼의 큰 사건은 폭발보다 닫힌 문으로 남을 수 있다.</x:v>
      </x:c>
      <x:c r="P32" s="159" t="str">
        <x:v>실패 상태 전환·로드 없는 영구 결과의 상징.</x:v>
      </x:c>
      <x:c r="Q32" s="159" t="str">
        <x:v>다른 이미지·입자·빛 금지.</x:v>
      </x:c>
      <x:c r="R32" s="159" t="str">
        <x:v>타격을 키우지 않고 공백을 길게.</x:v>
      </x:c>
      <x:c r="S32" s="159" t="str">
        <x:v>LOCKED_v1</x:v>
      </x:c>
    </x:row>
    <x:row r="33" ht="88" customHeight="1">
      <x:c r="A33" s="169" t="str">
        <x:v>029</x:v>
      </x:c>
      <x:c r="B33" s="169" t="str">
        <x:v>D. 미끄러진 손</x:v>
      </x:c>
      <x:c r="C33" s="169" t="str">
        <x:v>기억의 잔광</x:v>
      </x:c>
      <x:c r="D33" s="169" t="str">
        <x:v>54%</x:v>
      </x:c>
      <x:c r="E33" s="164" t="n">
        <x:v>330</x:v>
      </x:c>
      <x:c r="F33" s="164" t="n">
        <x:v>0</x:v>
      </x:c>
      <x:c r="G33" s="164" t="n">
        <x:v>45</x:v>
      </x:c>
      <x:c r="H33" s="159" t="str">
        <x:v>감은 눈 ECU</x:v>
      </x:c>
      <x:c r="I33" s="159" t="str">
        <x:v>눈꺼풀과 속눈썹만. 아직 백색 과노출이 남아 현재 배경을 지운다.</x:v>
      </x:c>
      <x:c r="J33" s="159" t="str">
        <x:v>텍스트 없음.</x:v>
      </x:c>
      <x:c r="K33" s="159" t="str">
        <x:v>무음.</x:v>
      </x:c>
      <x:c r="L33" s="159" t="str">
        <x:v>무채색·백색.</x:v>
      </x:c>
      <x:c r="M33" s="159" t="str">
        <x:v>아인은 아직 기억에서 돌아오지 못했다.</x:v>
      </x:c>
      <x:c r="N33" s="159" t="str">
        <x:v>현재와 과거의 경계가 눈꺼풀 한 장이라는 연출.</x:v>
      </x:c>
      <x:c r="O33" s="159" t="str">
        <x:v>황혼의 기억은 회상이 아니라 현재를 잠시 점유한다.</x:v>
      </x:c>
      <x:c r="P33" s="159" t="str">
        <x:v>컷신 종료 전 입력 잠금 상태의 시각 언어.</x:v>
      </x:c>
      <x:c r="Q33" s="159" t="str">
        <x:v>색 유입 금지.</x:v>
      </x:c>
      <x:c r="R33" s="159" t="str">
        <x:v>암전 뒤 작은 얼굴 조각으로 호흡 복귀.</x:v>
      </x:c>
      <x:c r="S33" s="159" t="str">
        <x:v>LOCKED_v1</x:v>
      </x:c>
    </x:row>
    <x:row r="34" ht="88" customHeight="1">
      <x:c r="A34" s="169" t="str">
        <x:v>030</x:v>
      </x:c>
      <x:c r="B34" s="169" t="str">
        <x:v>D. 미끄러진 손</x:v>
      </x:c>
      <x:c r="C34" s="169" t="str">
        <x:v>현재로 복귀</x:v>
      </x:c>
      <x:c r="D34" s="169" t="str">
        <x:v>78%</x:v>
      </x:c>
      <x:c r="E34" s="164" t="n">
        <x:v>560</x:v>
      </x:c>
      <x:c r="F34" s="164" t="n">
        <x:v>0</x:v>
      </x:c>
      <x:c r="G34" s="164" t="n">
        <x:v>160</x:v>
      </x:c>
      <x:c r="H34" s="159" t="str">
        <x:v>CU, 눈이 열리는 순간</x:v>
      </x:c>
      <x:c r="I34" s="159" t="str">
        <x:v>패널 상단은 백색, 하단으로 내려갈수록 보라·엠버가 돌아오는 수직 색 전환. 눈동자에 과한 반사 금지.</x:v>
      </x:c>
      <x:c r="J34" s="159" t="str">
        <x:v>텍스트 없음.</x:v>
      </x:c>
      <x:c r="K34" s="159" t="str">
        <x:v>바람 소리가 다시 들어온다.</x:v>
      </x:c>
      <x:c r="L34" s="159" t="str">
        <x:v>백색→보라·엠버. 한 번에 복귀하되 경계는 부드럽게.</x:v>
      </x:c>
      <x:c r="M34" s="159" t="str">
        <x:v>아인이 옥상으로 돌아온다.</x:v>
      </x:c>
      <x:c r="N34" s="159" t="str">
        <x:v>현재의 황혼색이 과거의 흰빛보다 오히려 익숙한 생활색으로 보인다.</x:v>
      </x:c>
      <x:c r="O34" s="159" t="str">
        <x:v>독자도 색이 돌아오면 숨을 고르는 황혼의 리듬에 동화.</x:v>
      </x:c>
      <x:c r="P34" s="159" t="str">
        <x:v>컷신 복귀 시 환경음·색상 복원 규칙.</x:v>
      </x:c>
      <x:c r="Q34" s="159" t="str">
        <x:v>눈 색·코어 색 고정. 과도한 눈물 금지.</x:v>
      </x:c>
      <x:c r="R34" s="159" t="str">
        <x:v>색 자체를 국면 전환으로 사용.</x:v>
      </x:c>
      <x:c r="S34" s="159" t="str">
        <x:v>LOCKED_v1</x:v>
      </x:c>
    </x:row>
    <x:row r="35" ht="88" customHeight="1">
      <x:c r="A35" s="170" t="str">
        <x:v>031</x:v>
      </x:c>
      <x:c r="B35" s="170" t="str">
        <x:v>E. 비어 있는 손</x:v>
      </x:c>
      <x:c r="C35" s="170" t="str">
        <x:v>현재의 손</x:v>
      </x:c>
      <x:c r="D35" s="170" t="str">
        <x:v>56%</x:v>
      </x:c>
      <x:c r="E35" s="164" t="n">
        <x:v>360</x:v>
      </x:c>
      <x:c r="F35" s="164" t="n">
        <x:v>20</x:v>
      </x:c>
      <x:c r="G35" s="164" t="n">
        <x:v>25</x:v>
      </x:c>
      <x:c r="H35" s="159" t="str">
        <x:v>낫 자루를 쥔 손 ECU</x:v>
      </x:c>
      <x:c r="I35" s="159" t="str">
        <x:v>손등 힘줄이 드러나지만 손이 떨리지는 않는다. 자루 표면의 사용감과 굳은살을 함께 보인다.</x:v>
      </x:c>
      <x:c r="J35" s="159" t="str">
        <x:v>나레이션은 상단 작은 박스.</x:v>
      </x:c>
      <x:c r="K35" s="159" t="str">
        <x:v>가죽·금속 마찰음 암시.</x:v>
      </x:c>
      <x:c r="L35" s="159" t="str">
        <x:v>현재 색. 엠버는 프레임 밖 또는 최소.</x:v>
      </x:c>
      <x:c r="M35" s="159" t="str">
        <x:v>이 손으로 2년간 싸웠다는 사실.</x:v>
      </x:c>
      <x:c r="N35" s="159" t="str">
        <x:v>잡는 힘이 늘어도 놓친 크기는 채워지지 않았다는 연결.</x:v>
      </x:c>
      <x:c r="O35" s="159" t="str">
        <x:v>성장은 과거를 지우지 않고 더 많은 책임만 얹는다.</x:v>
      </x:c>
      <x:c r="P35" s="159" t="str">
        <x:v>기본 공격 입력의 손 포즈. 무기 그립 모델 기준.</x:v>
      </x:c>
      <x:c r="Q35" s="159" t="str">
        <x:v>손 상처·굳은살 연속성.</x:v>
      </x:c>
      <x:c r="R35" s="159" t="str">
        <x:v>행동의 무게를 신체 디테일로.</x:v>
      </x:c>
      <x:c r="S35" s="159" t="str">
        <x:v>LOCKED_v1</x:v>
      </x:c>
    </x:row>
    <x:row r="36" ht="88" customHeight="1">
      <x:c r="A36" s="170" t="str">
        <x:v>032</x:v>
      </x:c>
      <x:c r="B36" s="170" t="str">
        <x:v>E. 비어 있는 손</x:v>
      </x:c>
      <x:c r="C36" s="170" t="str">
        <x:v>생존 방식 요약</x:v>
      </x:c>
      <x:c r="D36" s="170" t="str">
        <x:v>74% 3단</x:v>
      </x:c>
      <x:c r="E36" s="164" t="n">
        <x:v>760</x:v>
      </x:c>
      <x:c r="F36" s="164" t="n">
        <x:v>45</x:v>
      </x:c>
      <x:c r="G36" s="164" t="n">
        <x:v>95</x:v>
      </x:c>
      <x:c r="H36" s="159" t="str">
        <x:v>세로 3단, 액션 잔상→정지→손바닥</x:v>
      </x:c>
      <x:c r="I36" s="159" t="str">
        <x:v>상단의 소형 감염체는 형태를 단순화하고 세 번의 잔상은 같은 끝자락 궤적. 중단은 낫을 내리는 정지. 하단은 빈 손.</x:v>
      </x:c>
      <x:c r="J36" s="159" t="str">
        <x:v>나레이션은 상·중단 사이에 분배하되 한 문장을 세 말풍선처럼 쪼개지 않는다.</x:v>
      </x:c>
      <x:c r="K36" s="159" t="str">
        <x:v>상단 ‘서걱’은 작고 짧게. 중·하단 무음.</x:v>
      </x:c>
      <x:c r="L36" s="159" t="str">
        <x:v>현재 황혼색, 베기 잔상은 엠버 한 줄만.</x:v>
      </x:c>
      <x:c r="M36" s="159" t="str">
        <x:v>아인이 작은 것만 안전하게 한 번에 끊어 왔음을 안다.</x:v>
      </x:c>
      <x:c r="N36" s="159" t="str">
        <x:v>신중함이 실력 부족이 아니라 살아남기 위한 전략이었다고 읽힌다.</x:v>
      </x:c>
      <x:c r="O36" s="159" t="str">
        <x:v>황혼의 숙련은 많이 치는 것이 아니라 두 번째 타격을 만들지 않는 것.</x:v>
      </x:c>
      <x:c r="P36" s="159" t="str">
        <x:v>기본 전투 철학: 안전 거리·원킬·큰 적 회피.</x:v>
      </x:c>
      <x:c r="Q36" s="159" t="str">
        <x:v>대형 적 삽입 금지. 끝자락 명중 일관성.</x:v>
      </x:c>
      <x:c r="R36" s="159" t="str">
        <x:v>액션은 짧고 결과는 오래 보여주는 리듬.</x:v>
      </x:c>
      <x:c r="S36" s="159" t="str">
        <x:v>LOCKED_v1</x:v>
      </x:c>
    </x:row>
    <x:row r="37" ht="88" customHeight="1">
      <x:c r="A37" s="170" t="str">
        <x:v>033</x:v>
      </x:c>
      <x:c r="B37" s="170" t="str">
        <x:v>E. 비어 있는 손</x:v>
      </x:c>
      <x:c r="C37" s="170" t="str">
        <x:v>채워지지 않은 크기</x:v>
      </x:c>
      <x:c r="D37" s="170" t="str">
        <x:v>58%</x:v>
      </x:c>
      <x:c r="E37" s="164" t="n">
        <x:v>420</x:v>
      </x:c>
      <x:c r="F37" s="164" t="n">
        <x:v>60</x:v>
      </x:c>
      <x:c r="G37" s="164" t="n">
        <x:v>260</x:v>
      </x:c>
      <x:c r="H37" s="159" t="str">
        <x:v>빈 손바닥 ECU</x:v>
      </x:c>
      <x:c r="I37" s="159" t="str">
        <x:v>손바닥이 화면 정중앙이 아니라 약간 아래. 위쪽 빈 공간이 ‘그날 그 크기’를 보이지 않게 남긴다.</x:v>
      </x:c>
      <x:c r="J37" s="159" t="str">
        <x:v>나레이션은 손바닥 위쪽 한 박스. 대사 없음.</x:v>
      </x:c>
      <x:c r="K37" s="159" t="str">
        <x:v>무음.</x:v>
      </x:c>
      <x:c r="L37" s="159" t="str">
        <x:v>차가운 피부색, 배경 보라 흐림.</x:v>
      </x:c>
      <x:c r="M37" s="159" t="str">
        <x:v>아직도 손에 빈자리가 남았음을 느낀다.</x:v>
      </x:c>
      <x:c r="N37" s="159" t="str">
        <x:v>025의 작은 손이 보이지 않는 형태로 이 손바닥 위에 겹쳐 읽힌다.</x:v>
      </x:c>
      <x:c r="O37" s="159" t="str">
        <x:v>황혼의 기억은 사라진 사람보다 남은 공간으로 체화.</x:v>
      </x:c>
      <x:c r="P37" s="159" t="str">
        <x:v>상실이 캐릭터 동기·상호작용 선택에 남는 방식.</x:v>
      </x:c>
      <x:c r="Q37" s="159" t="str">
        <x:v>아무것도 추가로 그리지 않는다.</x:v>
      </x:c>
      <x:c r="R37" s="159" t="str">
        <x:v>큰 공백과 손 하나로 감정 정점.</x:v>
      </x:c>
      <x:c r="S37" s="159" t="str">
        <x:v>LOCKED_v1</x:v>
      </x:c>
    </x:row>
    <x:row r="38" ht="88" customHeight="1">
      <x:c r="A38" s="171" t="str">
        <x:v>034</x:v>
      </x:c>
      <x:c r="B38" s="171" t="str">
        <x:v>F. 반보 뒤</x:v>
      </x:c>
      <x:c r="C38" s="171" t="str">
        <x:v>카인의 입장</x:v>
      </x:c>
      <x:c r="D38" s="171" t="str">
        <x:v>86%</x:v>
      </x:c>
      <x:c r="E38" s="164" t="n">
        <x:v>470</x:v>
      </x:c>
      <x:c r="F38" s="164" t="n">
        <x:v>0</x:v>
      </x:c>
      <x:c r="G38" s="164" t="n">
        <x:v>30</x:v>
      </x:c>
      <x:c r="H38" s="159" t="str">
        <x:v>로우앵글, 철문과 전신 실루엣</x:v>
      </x:c>
      <x:c r="I38" s="159" t="str">
        <x:v>철문이 열리며 카인의 어깨·대검이 문틀을 거의 채운다. 아인은 프레임 밖 또는 전경 일부만.</x:v>
      </x:c>
      <x:c r="J38" s="159" t="str">
        <x:v>텍스트 없음.</x:v>
      </x:c>
      <x:c r="K38" s="159" t="str">
        <x:v>‘끼이익—’은 문 경첩 방향으로 길게.</x:v>
      </x:c>
      <x:c r="L38" s="159" t="str">
        <x:v>역광은 황혼색이지만 얼굴은 검게 먹는다.</x:v>
      </x:c>
      <x:c r="M38" s="159" t="str">
        <x:v>큰 사람이 옥상으로 들어온다.</x:v>
      </x:c>
      <x:c r="N38" s="159" t="str">
        <x:v>매번 아인을 따라 들어오는 사람이었다는 반복의 시작.</x:v>
      </x:c>
      <x:c r="O38" s="159" t="str">
        <x:v>누군가를 지키는 사람은 옆이 아니라 뒤에서 공간을 차지한다.</x:v>
      </x:c>
      <x:c r="P38" s="159" t="str">
        <x:v>동료 캐릭터 등장·탱커 실루엣 소개.</x:v>
      </x:c>
      <x:c r="Q38" s="159" t="str">
        <x:v>대검 길이·체격 축소 금지.</x:v>
      </x:c>
      <x:c r="R38" s="159" t="str">
        <x:v>중량감 있는 입장, 불필요한 동작 없음.</x:v>
      </x:c>
      <x:c r="S38" s="159" t="str">
        <x:v>LOCKED_v1</x:v>
      </x:c>
    </x:row>
    <x:row r="39" ht="88" customHeight="1">
      <x:c r="A39" s="171" t="str">
        <x:v>035</x:v>
      </x:c>
      <x:c r="B39" s="171" t="str">
        <x:v>F. 반보 뒤</x:v>
      </x:c>
      <x:c r="C39" s="171" t="str">
        <x:v>카인의 얼굴 공개</x:v>
      </x:c>
      <x:c r="D39" s="171" t="str">
        <x:v>70%</x:v>
      </x:c>
      <x:c r="E39" s="164" t="n">
        <x:v>400</x:v>
      </x:c>
      <x:c r="F39" s="164" t="n">
        <x:v>20</x:v>
      </x:c>
      <x:c r="G39" s="164" t="n">
        <x:v>25</x:v>
      </x:c>
      <x:c r="H39" s="159" t="str">
        <x:v>MS, 얼굴 반쪽 역광</x:v>
      </x:c>
      <x:c r="I39" s="159" t="str">
        <x:v>왼쪽 눈썹에서 턱까지 흉터가 한 번에 읽히되, 얼굴 절반은 여전히 어둠. 입은 편하게 다물고 있다.</x:v>
      </x:c>
      <x:c r="J39" s="159" t="str">
        <x:v>텍스트 없음.</x:v>
      </x:c>
      <x:c r="K39" s="159" t="str">
        <x:v>발소리 한 번 암시.</x:v>
      </x:c>
      <x:c r="L39" s="159" t="str">
        <x:v>황혼 역광, 피부는 따뜻하게 보정하지 않는다.</x:v>
      </x:c>
      <x:c r="M39" s="159" t="str">
        <x:v>카인의 외형과 흉터를 본다.</x:v>
      </x:c>
      <x:c r="N39" s="159" t="str">
        <x:v>짐승이 아니라 사람이 남긴 흉터라는 다음 ECU의 준비.</x:v>
      </x:c>
      <x:c r="O39" s="159" t="str">
        <x:v>황혼의 사람들은 적에게만 다친 것이 아니다.</x:v>
      </x:c>
      <x:c r="P39" s="159" t="str">
        <x:v>동료 모델 첫 얼굴 컷. 흉터는 영구 외형 정보.</x:v>
      </x:c>
      <x:c r="Q39" s="159" t="str">
        <x:v>흉터 방향 왼쪽 눈썹→턱 고정.</x:v>
      </x:c>
      <x:c r="R39" s="159" t="str">
        <x:v>표정 과장 없이 실루엣과 흉터로 인물성.</x:v>
      </x:c>
      <x:c r="S39" s="159" t="str">
        <x:v>LOCKED_v1</x:v>
      </x:c>
    </x:row>
    <x:row r="40" ht="88" customHeight="1">
      <x:c r="A40" s="171" t="str">
        <x:v>036</x:v>
      </x:c>
      <x:c r="B40" s="171" t="str">
        <x:v>F. 반보 뒤</x:v>
      </x:c>
      <x:c r="C40" s="171" t="str">
        <x:v>사람이 남긴 흉</x:v>
      </x:c>
      <x:c r="D40" s="171" t="str">
        <x:v>54%</x:v>
      </x:c>
      <x:c r="E40" s="164" t="n">
        <x:v>360</x:v>
      </x:c>
      <x:c r="F40" s="164" t="n">
        <x:v>20</x:v>
      </x:c>
      <x:c r="G40" s="164" t="n">
        <x:v>45</x:v>
      </x:c>
      <x:c r="H40" s="159" t="str">
        <x:v>흉터 ECU</x:v>
      </x:c>
      <x:c r="I40" s="159" t="str">
        <x:v>상처 가장자리는 오래 아문 흉의 질감. 발톱 자국처럼 평행하지 않고 날붙이 한 줄의 흐름.</x:v>
      </x:c>
      <x:c r="J40" s="159" t="str">
        <x:v>텍스트 없음.</x:v>
      </x:c>
      <x:c r="K40" s="159" t="str">
        <x:v>무음.</x:v>
      </x:c>
      <x:c r="L40" s="159" t="str">
        <x:v>피부·흉터 저채도. 발광 없음.</x:v>
      </x:c>
      <x:c r="M40" s="159" t="str">
        <x:v>이 상처가 괴물의 것이 아님을 눈으로 안다.</x:v>
      </x:c>
      <x:c r="N40" s="159" t="str">
        <x:v>카인의 과거에는 사람과의 사건이 있었음을 남긴다.</x:v>
      </x:c>
      <x:c r="O40" s="159" t="str">
        <x:v>황혼은 인간 대 괴물만의 세계가 아니라는 감각.</x:v>
      </x:c>
      <x:c r="P40" s="159" t="str">
        <x:v>미해결 캐릭터 로어. 흉터는 게임 모델에도 지속.</x:v>
      </x:c>
      <x:c r="Q40" s="159" t="str">
        <x:v>원인 설명·회상 삽입 금지. OPEN 또는 EXPANSION 가능.</x:v>
      </x:c>
      <x:c r="R40" s="159" t="str">
        <x:v>미스터리를 크게 외치지 않고 질감으로.</x:v>
      </x:c>
      <x:c r="S40" s="159" t="str">
        <x:v>LOCKED_v1</x:v>
      </x:c>
    </x:row>
    <x:row r="41" ht="88" customHeight="1">
      <x:c r="A41" s="171" t="str">
        <x:v>037</x:v>
      </x:c>
      <x:c r="B41" s="171" t="str">
        <x:v>F. 반보 뒤</x:v>
      </x:c>
      <x:c r="C41" s="171" t="str">
        <x:v>대검의 비정상적 무게</x:v>
      </x:c>
      <x:c r="D41" s="171" t="str">
        <x:v>76%</x:v>
      </x:c>
      <x:c r="E41" s="164" t="n">
        <x:v>430</x:v>
      </x:c>
      <x:c r="F41" s="164" t="n">
        <x:v>35</x:v>
      </x:c>
      <x:c r="G41" s="164" t="n">
        <x:v>65</x:v>
      </x:c>
      <x:c r="H41" s="159" t="str">
        <x:v>MS, 어깨·대검·한 손</x:v>
      </x:c>
      <x:c r="I41" s="159" t="str">
        <x:v>검의 길이가 프레임을 가로지르며 카인의 한 손은 긴장 없이 손잡이를 잡는다. 어깨가 내려앉지 않는다.</x:v>
      </x:c>
      <x:c r="J41" s="159" t="str">
        <x:v>텍스트 없음.</x:v>
      </x:c>
      <x:c r="K41" s="159" t="str">
        <x:v>낮은 금속 울림 ‘웅’은 표기하지 않음.</x:v>
      </x:c>
      <x:c r="L41" s="159" t="str">
        <x:v>티타늄 무광 회색. 엠버 없음.</x:v>
      </x:c>
      <x:c r="M41" s="159" t="str">
        <x:v>카인이 인간 규격 밖의 무기를 쉽게 든다.</x:v>
      </x:c>
      <x:c r="N41" s="159" t="str">
        <x:v>등급 수치와 눈앞의 힘이 일치하지 않는다는 이후의 문제를 준비.</x:v>
      </x:c>
      <x:c r="O41" s="159" t="str">
        <x:v>황혼에서 수치는 사람을 전부 설명하지 못한다.</x:v>
      </x:c>
      <x:c r="P41" s="159" t="str">
        <x:v>중량형 캐릭터 조작감·느린 큰 공격의 기대.</x:v>
      </x:c>
      <x:c r="Q41" s="159" t="str">
        <x:v>190cm·62kg 비례 유지. 손 힘줄 과장 금지.</x:v>
      </x:c>
      <x:c r="R41" s="159" t="str">
        <x:v>무게는 속도선보다 자세와 정지로 표현.</x:v>
      </x:c>
      <x:c r="S41" s="159" t="str">
        <x:v>LOCKED_v1</x:v>
      </x:c>
    </x:row>
    <x:row r="42" ht="88" customHeight="1">
      <x:c r="A42" s="171" t="str">
        <x:v>038</x:v>
      </x:c>
      <x:c r="B42" s="171" t="str">
        <x:v>F. 반보 뒤</x:v>
      </x:c>
      <x:c r="C42" s="171" t="str">
        <x:v>관계 시그니처 첫 전신</x:v>
      </x:c>
      <x:c r="D42" s="171" t="str">
        <x:v>100%</x:v>
      </x:c>
      <x:c r="E42" s="164" t="n">
        <x:v>520</x:v>
      </x:c>
      <x:c r="F42" s="164" t="n">
        <x:v>70</x:v>
      </x:c>
      <x:c r="G42" s="164" t="n">
        <x:v>15</x:v>
      </x:c>
      <x:c r="H42" s="159" t="str">
        <x:v>WIDE 전신, 두 사람과 발 포함</x:v>
      </x:c>
      <x:c r="I42" s="159" t="str">
        <x:v>아인은 전경 왼쪽 또는 중앙, 카인은 정확히 반보 뒤. 두 사람의 시선은 같은 방향. 옆으로 나란히 서지 않는다.</x:v>
      </x:c>
      <x:c r="J42" s="159" t="str">
        <x:v>텍스트 없음.</x:v>
      </x:c>
      <x:c r="K42" s="159" t="str">
        <x:v>부츠 한 번 멈추는 소리만 암시.</x:v>
      </x:c>
      <x:c r="L42" s="159" t="str">
        <x:v>황혼 전역광. 두 실루엣의 엠버는 아인 코어만 최소.</x:v>
      </x:c>
      <x:c r="M42" s="159" t="str">
        <x:v>둘의 기본 대형을 본다.</x:v>
      </x:c>
      <x:c r="N42" s="159" t="str">
        <x:v>카인의 습관이 우연이 아니라 계속 반복될 관계 언어임을 깨닫는다.</x:v>
      </x:c>
      <x:c r="O42" s="159" t="str">
        <x:v>‘반보 뒤’가 보호·질문·미완의 관계를 동시에 뜻하게 된다.</x:v>
      </x:c>
      <x:c r="P42" s="159" t="str">
        <x:v>파티 포메이션·보호 범위의 시각적 원형.</x:v>
      </x:c>
      <x:c r="Q42" s="159" t="str">
        <x:v>🔴 두 쌍의 발 필수. 반보 오차 금지.</x:v>
      </x:c>
      <x:c r="R42" s="159" t="str">
        <x:v>공간 관계를 대사보다 먼저 각인.</x:v>
      </x:c>
      <x:c r="S42" s="159" t="str">
        <x:v>LOCKED_v1</x:v>
      </x:c>
    </x:row>
    <x:row r="43" ht="88" customHeight="1">
      <x:c r="A43" s="171" t="str">
        <x:v>039</x:v>
      </x:c>
      <x:c r="B43" s="171" t="str">
        <x:v>F. 반보 뒤</x:v>
      </x:c>
      <x:c r="C43" s="171" t="str">
        <x:v>반보의 증거</x:v>
      </x:c>
      <x:c r="D43" s="171" t="str">
        <x:v>62%</x:v>
      </x:c>
      <x:c r="E43" s="164" t="n">
        <x:v>300</x:v>
      </x:c>
      <x:c r="F43" s="164" t="n">
        <x:v>0</x:v>
      </x:c>
      <x:c r="G43" s="164" t="n">
        <x:v>115</x:v>
      </x:c>
      <x:c r="H43" s="159" t="str">
        <x:v>부츠 인서트, 바닥 수평</x:v>
      </x:c>
      <x:c r="I43" s="159" t="str">
        <x:v>아인의 발끝과 카인의 발끝 차이를 정확히 보인다. 원근 왜곡을 줄이고 바닥 균열을 기준선처럼 사용.</x:v>
      </x:c>
      <x:c r="J43" s="159" t="str">
        <x:v>나레이션 ‘누가 정한 적은 없었다.’는 위쪽 작은 박스.</x:v>
      </x:c>
      <x:c r="K43" s="159" t="str">
        <x:v>무음.</x:v>
      </x:c>
      <x:c r="L43" s="159" t="str">
        <x:v>바닥 회색, 황혼 반사 약하게.</x:v>
      </x:c>
      <x:c r="M43" s="159" t="str">
        <x:v>반보 차이가 명시적으로 읽힌다.</x:v>
      </x:c>
      <x:c r="N43" s="159" t="str">
        <x:v>‘정한 적 없다’는 말이 오히려 오래된 선택이었다고 재해석된다.</x:v>
      </x:c>
      <x:c r="O43" s="159" t="str">
        <x:v>황혼의 신뢰는 선언이 아니라 반복되는 위치로 체화.</x:v>
      </x:c>
      <x:c r="P43" s="159" t="str">
        <x:v>동료 AI의 기본 위치·가드 범위를 연상.</x:v>
      </x:c>
      <x:c r="Q43" s="159" t="str">
        <x:v>발 전부 프레임. 카인이 옆에 서는 구도 금지.</x:v>
      </x:c>
      <x:c r="R43" s="159" t="str">
        <x:v>핵심 규칙은 한 번만 명시하고 이후 반복.</x:v>
      </x:c>
      <x:c r="S43" s="159" t="str">
        <x:v>LOCKED_v1</x:v>
      </x:c>
    </x:row>
    <x:row r="44" ht="88" customHeight="1">
      <x:c r="A44" s="171" t="str">
        <x:v>040</x:v>
      </x:c>
      <x:c r="B44" s="171" t="str">
        <x:v>F. 반보 뒤</x:v>
      </x:c>
      <x:c r="C44" s="171" t="str">
        <x:v>같은 색의 불</x:v>
      </x:c>
      <x:c r="D44" s="171" t="str">
        <x:v>70% 분할</x:v>
      </x:c>
      <x:c r="E44" s="164" t="n">
        <x:v>360</x:v>
      </x:c>
      <x:c r="F44" s="164" t="n">
        <x:v>45</x:v>
      </x:c>
      <x:c r="G44" s="164" t="n">
        <x:v>160</x:v>
      </x:c>
      <x:c r="H44" s="159" t="str">
        <x:v>CU 분할, 라이터 불 ↔ 황혼 하늘</x:v>
      </x:c>
      <x:c r="I44" s="159" t="str">
        <x:v>왼쪽 또는 위에 라이터 불, 오른쪽 또는 아래에 배경 황혼을 두고 색상·밝기만 정확히 맞춘다. 카인 얼굴은 아직 넣지 않는다.</x:v>
      </x:c>
      <x:c r="J44" s="159" t="str">
        <x:v>텍스트 없음.</x:v>
      </x:c>
      <x:c r="K44" s="159" t="str">
        <x:v>‘착—’은 불꽃 옆에 짧게.</x:v>
      </x:c>
      <x:c r="L44" s="159" t="str">
        <x:v>라이터 불과 하늘이 정확히 같은 엠버-적색 계열. 도시 창문 빛 없음.</x:v>
      </x:c>
      <x:c r="M44" s="159" t="str">
        <x:v>카인이 담배에 불을 붙인다.</x:v>
      </x:c>
      <x:c r="N44" s="159" t="str">
        <x:v>개인의 작은 불과 세계의 황혼이 같은 색이라는 반복 상징.</x:v>
      </x:c>
      <x:c r="O44" s="159" t="str">
        <x:v>황혼에서는 생활의 불조차 세계의 끝과 분리되지 않는다.</x:v>
      </x:c>
      <x:c r="P44" s="159" t="str">
        <x:v>캠프·허브의 생활 행위와 세계 팔레트 연결.</x:v>
      </x:c>
      <x:c r="Q44" s="159" t="str">
        <x:v>불꽃 색상 샘플을 황혼 팔레트와 동일 관리.</x:v>
      </x:c>
      <x:c r="R44" s="159" t="str">
        <x:v>인간적 완충을 넣되 긴장을 깨지 않는 짧은 리듬.</x:v>
      </x:c>
      <x:c r="S44" s="159" t="str">
        <x:v>LOCKED_v1</x:v>
      </x:c>
    </x:row>
    <x:row r="45" ht="30" customHeight="1">
      <x:c r="A45" s="163" t="str">
        <x:v>TOTAL / ESTIMATED SCROLL</x:v>
      </x:c>
      <x:c r="B45" s="163"/>
      <x:c r="C45" s="163"/>
      <x:c r="D45" s="163"/>
      <x:c r="E45" s="165" t="n">
        <x:f>SUM(E5:E44)</x:f>
        <x:v>18170</x:v>
      </x:c>
      <x:c r="F45" s="165" t="n">
        <x:f>SUM(F5:F44)</x:f>
        <x:v>1330</x:v>
      </x:c>
      <x:c r="G45" s="165" t="n">
        <x:f>SUM(G5:G44)</x:f>
        <x:v>3415</x:v>
      </x:c>
      <x:c r="H45" s="163" t="str">
        <x:v>예상 총 세로합</x:v>
      </x:c>
      <x:c r="I45" s="163" t="n">
        <x:f>SUM(E5:G44)</x:f>
        <x:v>22915</x:v>
      </x:c>
      <x:c r="J45" s="163"/>
      <x:c r="K45" s="163"/>
      <x:c r="L45" s="163"/>
      <x:c r="M45" s="163"/>
      <x:c r="N45" s="163"/>
      <x:c r="O45" s="163"/>
      <x:c r="P45" s="163"/>
      <x:c r="Q45" s="163"/>
      <x:c r="R45" s="163"/>
      <x:c r="S45" s="163"/>
    </x:row>
  </x:sheetData>
  <x:mergeCells>
    <x:mergeCell ref="A1:S1"/>
    <x:mergeCell ref="A2:S2"/>
    <x:mergeCell ref="A45:D45"/>
  </x:mergeCells>
  <x:conditionalFormatting sqref="S5:S44">
    <x:cfRule type="expression" dxfId="13" priority="1">
      <x:formula>S5="LOCKED_v1"</x:formula>
    </x:cfRule>
    <x:cfRule type="expression" dxfId="14" priority="2">
      <x:formula>S5="REVIEW"</x:formula>
    </x:cfRule>
    <x:cfRule type="expression" dxfId="15" priority="3">
      <x:formula>S5="HOLD"</x:formula>
    </x:cfRule>
  </x:conditionalFormatting>
  <x:dataValidations count="1">
    <x:dataValidation type="list" sqref="S5:S44">
      <x:formula1>"LOCKED_v1,REVIEW,HOLD"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4" hidden="0" customWidth="1"/>
    <x:col min="4" max="4" width="14" hidden="0" customWidth="1"/>
    <x:col min="5" max="5" width="13" hidden="0" customWidth="1"/>
    <x:col min="6" max="6" width="13" hidden="0" customWidth="1"/>
    <x:col min="7" max="7" width="14" hidden="0" customWidth="1"/>
    <x:col min="8" max="8" width="24" hidden="0" customWidth="1"/>
    <x:col min="9" max="9" width="48" hidden="0" customWidth="1"/>
    <x:col min="10" max="10" width="42" hidden="0" customWidth="1"/>
    <x:col min="11" max="11" width="28" hidden="0" customWidth="1"/>
    <x:col min="12" max="12" width="30" hidden="0" customWidth="1"/>
    <x:col min="13" max="13" width="34" hidden="0" customWidth="1"/>
    <x:col min="14" max="14" width="36" hidden="0" customWidth="1"/>
    <x:col min="15" max="15" width="36" hidden="0" customWidth="1"/>
    <x:col min="16" max="16" width="38" hidden="0" customWidth="1"/>
    <x:col min="17" max="17" width="42" hidden="0" customWidth="1"/>
    <x:col min="18" max="18" width="34" hidden="0" customWidth="1"/>
    <x:col min="19" max="19" width="14" hidden="0" customWidth="1"/>
  </x:cols>
  <x:sheetData>
    <x:row r="1" ht="30" customHeight="1">
      <x:c r="A1" s="181" t="str">
        <x:v>EP01 CUT041–080 — 실제 연재 구현 v1.0</x:v>
      </x:c>
      <x:c r="B1" s="181"/>
      <x:c r="C1" s="181"/>
      <x:c r="D1" s="181"/>
      <x:c r="E1" s="181"/>
      <x:c r="F1" s="181"/>
      <x:c r="G1" s="181"/>
      <x:c r="H1" s="181"/>
      <x:c r="I1" s="181"/>
      <x:c r="J1" s="181"/>
      <x:c r="K1" s="181"/>
      <x:c r="L1" s="181"/>
      <x:c r="M1" s="181"/>
      <x:c r="N1" s="181"/>
      <x:c r="O1" s="181"/>
      <x:c r="P1" s="181"/>
      <x:c r="Q1" s="181"/>
      <x:c r="R1" s="181"/>
      <x:c r="S1" s="181"/>
    </x:row>
    <x:row r="2" ht="28" customHeight="1">
      <x:c r="A2" s="186" t="str">
        <x:v>카인의 첫 대사 → 벙커 생활권 → 한 장인의 손 → 날짜 없는 빚 → 각인 평가소. 원본 40컷 유지 / 원본 패널 높이 17,680px / 계획 여백 3,795px / 예상 세로합 21,475px.</x:v>
      </x:c>
      <x:c r="B2" s="186"/>
      <x:c r="C2" s="186"/>
      <x:c r="D2" s="186"/>
      <x:c r="E2" s="186"/>
      <x:c r="F2" s="186"/>
      <x:c r="G2" s="186"/>
      <x:c r="H2" s="186"/>
      <x:c r="I2" s="186"/>
      <x:c r="J2" s="186"/>
      <x:c r="K2" s="186"/>
      <x:c r="L2" s="186"/>
      <x:c r="M2" s="186"/>
      <x:c r="N2" s="186"/>
      <x:c r="O2" s="186"/>
      <x:c r="P2" s="186"/>
      <x:c r="Q2" s="186"/>
      <x:c r="R2" s="186"/>
      <x:c r="S2" s="186"/>
    </x:row>
    <x:row r="3" ht="8" customHeight="1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</x:row>
    <x:row r="4" ht="36" customHeight="1">
      <x:c r="A4" s="189" t="str">
        <x:v>CUT_ID</x:v>
      </x:c>
      <x:c r="B4" s="189" t="str">
        <x:v>BEAT</x:v>
      </x:c>
      <x:c r="C4" s="189" t="str">
        <x:v>PANEL_ROLE</x:v>
      </x:c>
      <x:c r="D4" s="189" t="str">
        <x:v>WIDTH_CLASS</x:v>
      </x:c>
      <x:c r="E4" s="189" t="str">
        <x:v>SOURCE_HEIGHT_PX</x:v>
      </x:c>
      <x:c r="F4" s="189" t="str">
        <x:v>TOP_GUTTER_PX</x:v>
      </x:c>
      <x:c r="G4" s="189" t="str">
        <x:v>BOTTOM_GUTTER_PX</x:v>
      </x:c>
      <x:c r="H4" s="189" t="str">
        <x:v>CAMERA</x:v>
      </x:c>
      <x:c r="I4" s="189" t="str">
        <x:v>ACTION_COMPOSITION</x:v>
      </x:c>
      <x:c r="J4" s="189" t="str">
        <x:v>TEXT_LAYOUT</x:v>
      </x:c>
      <x:c r="K4" s="189" t="str">
        <x:v>SFX_AUDIO</x:v>
      </x:c>
      <x:c r="L4" s="189" t="str">
        <x:v>COLOR_LIGHT</x:v>
      </x:c>
      <x:c r="M4" s="189" t="str">
        <x:v>FIRST_READ</x:v>
      </x:c>
      <x:c r="N4" s="189" t="str">
        <x:v>THIRD_READ</x:v>
      </x:c>
      <x:c r="O4" s="189" t="str">
        <x:v>FIFTH_READ</x:v>
      </x:c>
      <x:c r="P4" s="189" t="str">
        <x:v>GAME_ECHO</x:v>
      </x:c>
      <x:c r="Q4" s="189" t="str">
        <x:v>PRODUCTION_LOCK</x:v>
      </x:c>
      <x:c r="R4" s="189" t="str">
        <x:v>BENCHMARK_BALANCE</x:v>
      </x:c>
      <x:c r="S4" s="189" t="str">
        <x:v>STATUS</x:v>
      </x:c>
    </x:row>
    <x:row r="5" ht="88" customHeight="1">
      <x:c r="A5" s="191" t="str">
        <x:v>041</x:v>
      </x:c>
      <x:c r="B5" s="191" t="str">
        <x:v>G. 내려갈 시간</x:v>
      </x:c>
      <x:c r="C5" s="191" t="str">
        <x:v>의뢰를 부르는 첫 대사</x:v>
      </x:c>
      <x:c r="D5" s="191" t="str">
        <x:v>78%</x:v>
      </x:c>
      <x:c r="E5" s="190" t="n">
        <x:v>470</x:v>
      </x:c>
      <x:c r="F5" s="190" t="n">
        <x:v>20</x:v>
      </x:c>
      <x:c r="G5" s="190" t="n">
        <x:v>35</x:v>
      </x:c>
      <x:c r="H5" s="159" t="str">
        <x:v>MS 뒤에서, 카인 어깨 너머로 아인을 보는 구도</x:v>
      </x:c>
      <x:c r="I5" s="159" t="str">
        <x:v>카인은 프레임 뒤쪽에서 연기를 내보내고 아인은 옥상 끝을 향한 채 돌아보지 않는다. 두 사람의 높이 차와 반보 간격이 한 화면에서 읽히게 한다.</x:v>
      </x:c>
      <x:c r="J5" s="159" t="str">
        <x:v>카인의 세 문장은 말풍선 하나를 세 덩어리로 나누지 않는다. 상단에서 시작해 아래로 내려오되 아인의 머리와 낫 실루엣을 가리지 않는다.</x:v>
      </x:c>
      <x:c r="K5" s="159" t="str">
        <x:v>담배 연기를 뱉는 짧은 숨. 별도 SFX 표기 없음.</x:v>
      </x:c>
      <x:c r="L5" s="159" t="str">
        <x:v>황혼 보라·핏빛. 담뱃불만 엠버, 연기는 회색으로 얇게.</x:v>
      </x:c>
      <x:c r="M5" s="159" t="str">
        <x:v>마태오가 불렀고 돈이 큰 의뢰가 들어왔음을 안다.</x:v>
      </x:c>
      <x:c r="N5" s="159" t="str">
        <x:v>보수가 아니라 예상되는 사망 비용을 먼저 읽는 카인의 생활 감각이 보인다.</x:v>
      </x:c>
      <x:c r="O5" s="159" t="str">
        <x:v>황혼에서 가격은 보상이 아니라 누군가 감수할 손실의 크기다.</x:v>
      </x:c>
      <x:c r="P5" s="159" t="str">
        <x:v>허브에서 임무를 UI로 띄우지 않고 동료의 말로 받는 첫 퀘스트 호출.</x:v>
      </x:c>
      <x:c r="Q5" s="159" t="str">
        <x:v>카인은 반드시 아인의 반보 뒤. 아인은 돌아보지 않는다. 담배 연기로 얼굴을 감추지 않는다.</x:v>
      </x:c>
      <x:c r="R5" s="159" t="str">
        <x:v>긴 대사는 공간을 막지 않게 배치하고, 거친 농담은 과장된 개그 표정 없이 처리.</x:v>
      </x:c>
      <x:c r="S5" s="198" t="str">
        <x:v>LOCKED_v1</x:v>
      </x:c>
    </x:row>
    <x:row r="6" ht="88" customHeight="1">
      <x:c r="A6" s="191" t="str">
        <x:v>042</x:v>
      </x:c>
      <x:c r="B6" s="191" t="str">
        <x:v>G. 내려갈 시간</x:v>
      </x:c>
      <x:c r="C6" s="191" t="str">
        <x:v>웃지 않는 농담</x:v>
      </x:c>
      <x:c r="D6" s="191" t="str">
        <x:v>66%</x:v>
      </x:c>
      <x:c r="E6" s="190" t="n">
        <x:v>400</x:v>
      </x:c>
      <x:c r="F6" s="190" t="n">
        <x:v>20</x:v>
      </x:c>
      <x:c r="G6" s="190" t="n">
        <x:v>55</x:v>
      </x:c>
      <x:c r="H6" s="159" t="str">
        <x:v>CU, 카인 얼굴 정면보다 약간 측면</x:v>
      </x:c>
      <x:c r="I6" s="159" t="str">
        <x:v>입꼬리는 아주 조금 올라가지만 눈꺼풀과 시선은 그대로다. 흉터가 표정선과 겹치지 않게 분리한다.</x:v>
      </x:c>
      <x:c r="J6" s="159" t="str">
        <x:v>대사는 얼굴 반대쪽 빈 공간에 한 말풍선. 마지막 ‘뜻이지만.’ 뒤 여백을 남긴다.</x:v>
      </x:c>
      <x:c r="K6" s="159" t="str">
        <x:v>짧은 숨. 무음에 가깝게.</x:v>
      </x:c>
      <x:c r="L6" s="159" t="str">
        <x:v>황혼 역광. 눈에는 하이라이트를 최소화하고 담뱃불 반사도 넣지 않는다.</x:v>
      </x:c>
      <x:c r="M6" s="159" t="str">
        <x:v>카인이 위험을 농담으로 말한다.</x:v>
      </x:c>
      <x:c r="N6" s="159" t="str">
        <x:v>그가 이미 의뢰비와 죽을 확률을 같은 장부에서 계산하고 있음을 알게 된다.</x:v>
      </x:c>
      <x:c r="O6" s="159" t="str">
        <x:v>인간적인 완충은 희망이 아니라 두려움을 다루는 방식이 될 수 있다.</x:v>
      </x:c>
      <x:c r="P6" s="159" t="str">
        <x:v>동료의 전투 전 대사가 위험도 힌트가 되지만 수치나 난이도 UI는 나오지 않는다.</x:v>
      </x:c>
      <x:c r="Q6" s="159" t="str">
        <x:v>눈은 웃지 않는다. 흉터 방향 유지. 만화식 익살 표정 금지.</x:v>
      </x:c>
      <x:c r="R6" s="159" t="str">
        <x:v>표정 연기는 선명하되 절제하고, 위험 정보는 대사 한 줄로 끝낸다.</x:v>
      </x:c>
      <x:c r="S6" s="198" t="str">
        <x:v>LOCKED_v1</x:v>
      </x:c>
    </x:row>
    <x:row r="7" ht="88" customHeight="1">
      <x:c r="A7" s="191" t="str">
        <x:v>043</x:v>
      </x:c>
      <x:c r="B7" s="191" t="str">
        <x:v>G. 내려갈 시간</x:v>
      </x:c>
      <x:c r="C7" s="191" t="str">
        <x:v>몸이 먼저 내린 답</x:v>
      </x:c>
      <x:c r="D7" s="191" t="str">
        <x:v>54%</x:v>
      </x:c>
      <x:c r="E7" s="190" t="n">
        <x:v>340</x:v>
      </x:c>
      <x:c r="F7" s="190" t="n">
        <x:v>15</x:v>
      </x:c>
      <x:c r="G7" s="190" t="n">
        <x:v>20</x:v>
      </x:c>
      <x:c r="H7" s="159" t="str">
        <x:v>ECU, 낫자루를 쥔 손가락 마디</x:v>
      </x:c>
      <x:c r="I7" s="159" t="str">
        <x:v>손가락이 한 번 조여졌다가 원래 힘으로 돌아온다. 한 패널 안에서는 관절 압흔과 피부색 차이로 전후를 읽힌다.</x:v>
      </x:c>
      <x:c r="J7" s="159" t="str">
        <x:v>텍스트 없음.</x:v>
      </x:c>
      <x:c r="K7" s="159" t="str">
        <x:v>가죽 감기는 아주 작은 소리만 암시. 표기 없음.</x:v>
      </x:c>
      <x:c r="L7" s="159" t="str">
        <x:v>차가운 피부와 검은 자루. 엠버는 프레임 밖.</x:v>
      </x:c>
      <x:c r="M7" s="159" t="str">
        <x:v>아인이 의뢰의 위험성에 반응한다.</x:v>
      </x:c>
      <x:c r="N7" s="159" t="str">
        <x:v>말하기 전 이미 안전했던 2년을 버리는 쪽으로 몸이 기울었다고 읽힌다.</x:v>
      </x:c>
      <x:c r="O7" s="159" t="str">
        <x:v>황혼의 결정은 선언보다 손의 압력 변화로 먼저 나타난다.</x:v>
      </x:c>
      <x:c r="P7" s="159" t="str">
        <x:v>결정적 선택 직전 입력 그립과 준비 자세를 몸으로 보여주는 연출 언어.</x:v>
      </x:c>
      <x:c r="Q7" s="159" t="str">
        <x:v>대사·눈물·얼굴 삽입 금지. 손 위치와 건틀릿 좌우 연속성 유지.</x:v>
      </x:c>
      <x:c r="R7" s="159" t="str">
        <x:v>정적 클로즈업으로 대사 사이의 긴장을 받친다.</x:v>
      </x:c>
      <x:c r="S7" s="198" t="str">
        <x:v>LOCKED_v1</x:v>
      </x:c>
    </x:row>
    <x:row r="8" ht="88" customHeight="1">
      <x:c r="A8" s="191" t="str">
        <x:v>044</x:v>
      </x:c>
      <x:c r="B8" s="191" t="str">
        <x:v>G. 내려갈 시간</x:v>
      </x:c>
      <x:c r="C8" s="191" t="str">
        <x:v>출격의 수락</x:v>
      </x:c>
      <x:c r="D8" s="191" t="str">
        <x:v>76%</x:v>
      </x:c>
      <x:c r="E8" s="190" t="n">
        <x:v>560</x:v>
      </x:c>
      <x:c r="F8" s="190" t="n">
        <x:v>30</x:v>
      </x:c>
      <x:c r="G8" s="190" t="n">
        <x:v>140</x:v>
      </x:c>
      <x:c r="H8" s="159" t="str">
        <x:v>CU 측면, 고개를 드는 아인</x:v>
      </x:c>
      <x:c r="I8" s="159" t="str">
        <x:v>고개는 천천히 올라오지만 표정은 바뀌지 않는다. 턱선과 목 근육만 아주 미세하게 굳는다. 카인은 화면 밖에 둔다.</x:v>
      </x:c>
      <x:c r="J8" s="159" t="str">
        <x:v>말풍선은 시선이 향하는 앞쪽 빈 공간에 둔다. 첫 ‘…알아.’와 뒤 문장을 한 호흡으로 읽히게 한다.</x:v>
      </x:c>
      <x:c r="K8" s="159" t="str">
        <x:v>바람 소리가 다시 조금 커진다.</x:v>
      </x:c>
      <x:c r="L8" s="159" t="str">
        <x:v>보라 하늘의 차가운 반사. 코어 엠버는 목 뒤에서 약하게.</x:v>
      </x:c>
      <x:c r="M8" s="159" t="str">
        <x:v>아인이 지하로 내려가겠다고 답한다.</x:v>
      </x:c>
      <x:c r="N8" s="159" t="str">
        <x:v>돈 때문이라고 말하지 않지만 이미 장인의 손과 미지급 값을 향한 선택으로 읽힌다.</x:v>
      </x:c>
      <x:c r="O8" s="159" t="str">
        <x:v>용기는 두려움이 없는 상태가 아니라 대가를 알고도 문턱을 넘는 일이다.</x:v>
      </x:c>
      <x:c r="P8" s="159" t="str">
        <x:v>플레이어 캐릭터가 임무 수락을 말보다 자세 변화로 확정하는 컷신.</x:v>
      </x:c>
      <x:c r="Q8" s="159" t="str">
        <x:v>표정 변화 금지. 턱만 굳는다. 왼쪽 견갑·오른쪽 건틀릿 좌우 고정.</x:v>
      </x:c>
      <x:c r="R8" s="159" t="str">
        <x:v>감정은 크게 터뜨리지 않고, 긴 대사 뒤 넓은 하단 여백으로 결심을 남긴다.</x:v>
      </x:c>
      <x:c r="S8" s="198" t="str">
        <x:v>LOCKED_v1</x:v>
      </x:c>
    </x:row>
    <x:row r="9" ht="88" customHeight="1">
      <x:c r="A9" s="191" t="str">
        <x:v>045</x:v>
      </x:c>
      <x:c r="B9" s="191" t="str">
        <x:v>G. 내려갈 시간</x:v>
      </x:c>
      <x:c r="C9" s="191" t="str">
        <x:v>버리지 않는 사람</x:v>
      </x:c>
      <x:c r="D9" s="191" t="str">
        <x:v>72% 3단</x:v>
      </x:c>
      <x:c r="E9" s="190" t="n">
        <x:v>780</x:v>
      </x:c>
      <x:c r="F9" s="190" t="n">
        <x:v>45</x:v>
      </x:c>
      <x:c r="G9" s="190" t="n">
        <x:v>240</x:v>
      </x:c>
      <x:c r="H9" s="159" t="str">
        <x:v>세로 3단 인서트, 발→손→아인 눈</x:v>
      </x:c>
      <x:c r="I9" s="159" t="str">
        <x:v>상단은 절반 남은 담배를 발로 끄는 장면, 중단은 그것을 주워 주머니에 넣는 손, 하단은 잠깐 머물렀다 떨어지는 아인의 시선. 세 패널의 동작축을 같은 수직선에 둔다.</x:v>
      </x:c>
      <x:c r="J9" s="159" t="str">
        <x:v>대사·나레이션 없음. 패널 사이를 넓게 벌리지 않고 마지막 하단 뒤에만 긴 여백.</x:v>
      </x:c>
      <x:c r="K9" s="159" t="str">
        <x:v>첫 패널 ‘사각’ 정도의 작은 마찰음만. 이후 무음.</x:v>
      </x:c>
      <x:c r="L9" s="159" t="str">
        <x:v>황혼색에서 불이 꺼지며 엠버가 사라진다. 남은 담배는 회갈색.</x:v>
      </x:c>
      <x:c r="M9" s="159" t="str">
        <x:v>카인이 반쯤 남은 담배를 버리지 않는다는 생활 습관을 본다.</x:v>
      </x:c>
      <x:c r="N9" s="159" t="str">
        <x:v>거친 외형보다 자원을 함부로 버리지 않는 생존자의 시간이 먼저 보인다.</x:v>
      </x:c>
      <x:c r="O9" s="159" t="str">
        <x:v>황혼에서는 사람을 그가 지키는 것뿐 아니라 버리지 않는 것으로도 읽는다.</x:v>
      </x:c>
      <x:c r="P9" s="159" t="str">
        <x:v>소모품이 자동 폐기되지 않는 세계의 자원 감각. 허브 생활 애니메이션.</x:v>
      </x:c>
      <x:c r="Q9" s="159" t="str">
        <x:v>담배는 정확히 절반 남음. 주워 주머니에 넣음. 아인은 말하지 않음.</x:v>
      </x:c>
      <x:c r="R9" s="159" t="str">
        <x:v>인간적인 비트는 짧고 정확하게, 귀여움이나 로맨틱한 시선 처리 금지.</x:v>
      </x:c>
      <x:c r="S9" s="198" t="str">
        <x:v>LOCKED_v1</x:v>
      </x:c>
    </x:row>
    <x:row r="10" ht="88" customHeight="1">
      <x:c r="A10" s="192" t="str">
        <x:v>046</x:v>
      </x:c>
      <x:c r="B10" s="192" t="str">
        <x:v>H. 사람이 사는 곳</x:v>
      </x:c>
      <x:c r="C10" s="192" t="str">
        <x:v>허브로의 하강</x:v>
      </x:c>
      <x:c r="D10" s="192" t="str">
        <x:v>56% 극세로</x:v>
      </x:c>
      <x:c r="E10" s="190" t="n">
        <x:v>420</x:v>
      </x:c>
      <x:c r="F10" s="190" t="n">
        <x:v>50</x:v>
      </x:c>
      <x:c r="G10" s="190" t="n">
        <x:v>35</x:v>
      </x:c>
      <x:c r="H10" s="159" t="str">
        <x:v>극세로 부감, 나선 계단 중심</x:v>
      </x:c>
      <x:c r="I10" s="159" t="str">
        <x:v>나선 계단이 화면을 여러 바퀴 감고 두 사람은 중하단에 아주 작게 둔다. 카인이 뒤를 따르는 궤적은 유지하되 발의 반보를 억지로 확대하지 않는다.</x:v>
      </x:c>
      <x:c r="J10" s="159" t="str">
        <x:v>텍스트 없음.</x:v>
      </x:c>
      <x:c r="K10" s="159" t="str">
        <x:v>발소리가 콘크리트에 두 번씩 울리는 잔향.</x:v>
      </x:c>
      <x:c r="L10" s="159" t="str">
        <x:v>냉백 형광이 위에서 아래로 끊겨 내려온다. 황혼색은 문틈에서만 사라진다.</x:v>
      </x:c>
      <x:c r="M10" s="159" t="str">
        <x:v>두 사람이 지하 3층의 벙커로 내려간다.</x:v>
      </x:c>
      <x:c r="N10" s="159" t="str">
        <x:v>밖의 광대한 폐허와 달리 생존은 깊이와 층을 가진 구조 위에 놓여 있음을 본다.</x:v>
      </x:c>
      <x:c r="O10" s="159" t="str">
        <x:v>황혼에서 안전은 밝은 곳이 아니라 누군가 계속 유지하는 아래쪽에 있다.</x:v>
      </x:c>
      <x:c r="P10" s="159" t="str">
        <x:v>허브 진입용 수직 전환 구간. 계단은 플레이어의 위치 감각과 층 구분 랜드마크.</x:v>
      </x:c>
      <x:c r="Q10" s="159" t="str">
        <x:v>두 인물은 작게. 카인이 앞서거나 나란히 서지 않음. 계단 구조 왜곡 금지.</x:v>
      </x:c>
      <x:c r="R10" s="159" t="str">
        <x:v>광경을 크게 쓰되 이동 동선은 명확하게 읽힌다.</x:v>
      </x:c>
      <x:c r="S10" s="198" t="str">
        <x:v>LOCKED_v1</x:v>
      </x:c>
    </x:row>
    <x:row r="11" ht="88" customHeight="1">
      <x:c r="A11" s="192" t="str">
        <x:v>047</x:v>
      </x:c>
      <x:c r="B11" s="192" t="str">
        <x:v>H. 사람이 사는 곳</x:v>
      </x:c>
      <x:c r="C11" s="192" t="str">
        <x:v>생활을 버티는 전기</x:v>
      </x:c>
      <x:c r="D11" s="192" t="str">
        <x:v>58%</x:v>
      </x:c>
      <x:c r="E11" s="190" t="n">
        <x:v>380</x:v>
      </x:c>
      <x:c r="F11" s="190" t="n">
        <x:v>20</x:v>
      </x:c>
      <x:c r="G11" s="190" t="n">
        <x:v>55</x:v>
      </x:c>
      <x:c r="H11" s="159" t="str">
        <x:v>천장 형광등 인서트, 아래에서 올려다봄</x:v>
      </x:c>
      <x:c r="I11" s="159" t="str">
        <x:v>노후한 형광등 한 줄이 한두 번 꺼졌다 켜진다. 주변 배선과 고정 철물까지 보여 유지 비용을 느끼게 한다.</x:v>
      </x:c>
      <x:c r="J11" s="159" t="str">
        <x:v>나레이션은 화면 아래보다 상단 콘크리트 빈 공간에 한 줄.</x:v>
      </x:c>
      <x:c r="K11" s="159" t="str">
        <x:v>‘지—직’은 작고 끊겨 보이게. 과한 전기 스파크 금지.</x:v>
      </x:c>
      <x:c r="L11" s="159" t="str">
        <x:v>냉백색. 순간 암전 때 완전 검정보다 잔광을 남긴다.</x:v>
      </x:c>
      <x:c r="M11" s="159" t="str">
        <x:v>발전기가 오래되어 조명이 불안정하다는 사실을 안다.</x:v>
      </x:c>
      <x:c r="N11" s="159" t="str">
        <x:v>벙커가 기적적으로 돌아가는 것이 아니라 누군가 매일 고장 직전을 붙들고 있음을 읽는다.</x:v>
      </x:c>
      <x:c r="O11" s="159" t="str">
        <x:v>황혼의 배경 장치는 장식이 아니라 사람의 하루를 떠받치는 노동이다.</x:v>
      </x:c>
      <x:c r="P11" s="159" t="str">
        <x:v>허브 전력 상태를 UI 없이 빛과 소리로 알리는 환경 피드백.</x:v>
      </x:c>
      <x:c r="Q11" s="159" t="str">
        <x:v>인물 삽입 금지. 청록 스파크 금지. 발전기 자체를 새것처럼 보이게 하지 않는다.</x:v>
      </x:c>
      <x:c r="R11" s="159" t="str">
        <x:v>환경 정보 하나만 크게 보여 리듬을 늦춘다.</x:v>
      </x:c>
      <x:c r="S11" s="198" t="str">
        <x:v>LOCKED_v1</x:v>
      </x:c>
    </x:row>
    <x:row r="12" ht="88" customHeight="1">
      <x:c r="A12" s="192" t="str">
        <x:v>048</x:v>
      </x:c>
      <x:c r="B12" s="192" t="str">
        <x:v>H. 사람이 사는 곳</x:v>
      </x:c>
      <x:c r="C12" s="192" t="str">
        <x:v>소리가 살아 있는 곳</x:v>
      </x:c>
      <x:c r="D12" s="192" t="str">
        <x:v>100% 블리드</x:v>
      </x:c>
      <x:c r="E12" s="190" t="n">
        <x:v>1500</x:v>
      </x:c>
      <x:c r="F12" s="190" t="n">
        <x:v>0</x:v>
      </x:c>
      <x:c r="G12" s="190" t="n">
        <x:v>160</x:v>
      </x:c>
      <x:c r="H12" s="159" t="str">
        <x:v>EWIDE, 철문 너머 중앙 통로 전경</x:v>
      </x:c>
      <x:c r="I12" s="159" t="str">
        <x:v>철문이 열리며 좁은 어둠에서 넓은 생활권으로 시야가 터진다. 좌우 좌판, 배급 줄, 드럼통, 아이의 동선이 층별로 읽히되 얼굴은 특정하지 않는다.</x:v>
      </x:c>
      <x:c r="J12" s="159" t="str">
        <x:v>텍스트 없음. SFX 세 개는 한곳에 몰지 않고 장면의 서로 다른 깊이에 배치한다.</x:v>
      </x:c>
      <x:c r="K12" s="159" t="str">
        <x:v>‘왁자—’는 원경, ‘쨍—’은 중경, ‘딸그락’은 전경. 동시에 쏟아지되 크기 차이로 거리 표현.</x:v>
      </x:c>
      <x:c r="L12" s="159" t="str">
        <x:v>주광은 냉백 형광. 드럼통 불은 낮은 엠버 실광이며 전체를 따뜻하게 만들지 않는다.</x:v>
      </x:c>
      <x:c r="M12" s="159" t="str">
        <x:v>폐허가 아니라 사람이 사는 곳이라는 반전을 소리와 밀도로 체감한다.</x:v>
      </x:c>
      <x:c r="N12" s="159" t="str">
        <x:v>이 소음을 하루 더 유지하는 것이 앞으로의 출격과 회수의 실질적 보상이라고 읽힌다.</x:v>
      </x:c>
      <x:c r="O12" s="159" t="str">
        <x:v>황혼에서 지켜야 할 것은 거대한 희망이 아니라 끊이지 않는 생활의 소리다.</x:v>
      </x:c>
      <x:c r="P12" s="159" t="str">
        <x:v>게임 허브 첫 진입 사운드 시그니처. 상점·배급·정비 NPC의 위치를 한 전경으로 학습.</x:v>
      </x:c>
      <x:c r="Q12" s="159" t="str">
        <x:v>가시적 얼굴 클로즈업 금지. 통로 동선과 주요 기능 구역 가독성 유지.</x:v>
      </x:c>
      <x:c r="R12" s="159" t="str">
        <x:v>대형 공간은 화려함보다 생활 밀도와 이동 가능성으로 압도한다.</x:v>
      </x:c>
      <x:c r="S12" s="198" t="str">
        <x:v>LOCKED_v1</x:v>
      </x:c>
    </x:row>
    <x:row r="13" ht="88" customHeight="1">
      <x:c r="A13" s="192" t="str">
        <x:v>049</x:v>
      </x:c>
      <x:c r="B13" s="192" t="str">
        <x:v>H. 사람이 사는 곳</x:v>
      </x:c>
      <x:c r="C13" s="192" t="str">
        <x:v>배급의 질서</x:v>
      </x:c>
      <x:c r="D13" s="192" t="str">
        <x:v>70%</x:v>
      </x:c>
      <x:c r="E13" s="190" t="n">
        <x:v>400</x:v>
      </x:c>
      <x:c r="F13" s="190" t="n">
        <x:v>25</x:v>
      </x:c>
      <x:c r="G13" s="190" t="n">
        <x:v>20</x:v>
      </x:c>
      <x:c r="H13" s="159" t="str">
        <x:v>MS, 배급 줄을 뒤에서 따라가는 시점</x:v>
      </x:c>
      <x:c r="I13" s="159" t="str">
        <x:v>각자 다른 크기의 깡통을 들고 한 방향으로 서 있다. 줄이 프레임 밖까지 이어지되 군중을 난장판으로 만들지 않는다.</x:v>
      </x:c>
      <x:c r="J13" s="159" t="str">
        <x:v>텍스트 없음.</x:v>
      </x:c>
      <x:c r="K13" s="159" t="str">
        <x:v>깡통 부딪힘과 발 끄는 소리.</x:v>
      </x:c>
      <x:c r="L13" s="159" t="str">
        <x:v>냉백 형광. 피부와 옷은 저채도, 깡통의 금속 반사만 약하게.</x:v>
      </x:c>
      <x:c r="M13" s="159" t="str">
        <x:v>모든 사람이 제한된 배급을 기다린다는 생활 조건을 본다.</x:v>
      </x:c>
      <x:c r="N13" s="159" t="str">
        <x:v>불만보다 줄을 유지하는 합의가 벙커의 생존 시스템임을 알게 된다.</x:v>
      </x:c>
      <x:c r="O13" s="159" t="str">
        <x:v>황혼의 질서는 영웅의 명령보다 평범한 사람들이 지키는 순서에서 생긴다.</x:v>
      </x:c>
      <x:c r="P13" s="159" t="str">
        <x:v>배급 NPC·기초 자원 경제·일일 허브 루틴의 시각적 원형.</x:v>
      </x:c>
      <x:c r="Q13" s="159" t="str">
        <x:v>얼굴 특정 금지. 배급이 풍족해 보이지 않게 한다. 군인식 정렬 과장 금지.</x:v>
      </x:c>
      <x:c r="R13" s="159" t="str">
        <x:v>인간 군집을 배경이 아니라 운영되는 사회로 보여준다.</x:v>
      </x:c>
      <x:c r="S13" s="198" t="str">
        <x:v>LOCKED_v1</x:v>
      </x:c>
    </x:row>
    <x:row r="14" ht="88" customHeight="1">
      <x:c r="A14" s="192" t="str">
        <x:v>050</x:v>
      </x:c>
      <x:c r="B14" s="192" t="str">
        <x:v>H. 사람이 사는 곳</x:v>
      </x:c>
      <x:c r="C14" s="192" t="str">
        <x:v>폐품의 두 번째 생</x:v>
      </x:c>
      <x:c r="D14" s="192" t="str">
        <x:v>68%</x:v>
      </x:c>
      <x:c r="E14" s="190" t="n">
        <x:v>400</x:v>
      </x:c>
      <x:c r="F14" s="190" t="n">
        <x:v>15</x:v>
      </x:c>
      <x:c r="G14" s="190" t="n">
        <x:v>20</x:v>
      </x:c>
      <x:c r="H14" s="159" t="str">
        <x:v>MS 근접, 좌판을 수평으로 훑는 구도</x:v>
      </x:c>
      <x:c r="I14" s="159" t="str">
        <x:v>나사·전선·찌그러진 깡통·고무 패킹이 용도별로 느슨하게 모여 있다. 새 상품처럼 정돈하지 않고 손때와 수선 흔적을 남긴다.</x:v>
      </x:c>
      <x:c r="J14" s="159" t="str">
        <x:v>텍스트 없음.</x:v>
      </x:c>
      <x:c r="K14" s="159" t="str">
        <x:v>작은 금속 부딪힘 ‘달칵’ 정도.</x:v>
      </x:c>
      <x:c r="L14" s="159" t="str">
        <x:v>냉백색 위에 녹과 먼지의 갈색. 발광 없음.</x:v>
      </x:c>
      <x:c r="M14" s="159" t="str">
        <x:v>벙커에서 폐품도 물자가 된다는 사실을 본다.</x:v>
      </x:c>
      <x:c r="N14" s="159" t="str">
        <x:v>모든 물건이 원래 용도보다 다음 쓰임으로 평가되는 경제임을 읽는다.</x:v>
      </x:c>
      <x:c r="O14" s="159" t="str">
        <x:v>황혼에서는 살아남은 것의 가치가 이름이 아니라 다시 쓸 수 있는가로 정해진다.</x:v>
      </x:c>
      <x:c r="P14" s="159" t="str">
        <x:v>필드 수집물이 허브 제작 재료로 이어지는 경제를 환경 소품으로 선학습.</x:v>
      </x:c>
      <x:c r="Q14" s="159" t="str">
        <x:v>현대식 매대·가격표·네온 장식 금지. 부품 종류 과도한 SF화 금지.</x:v>
      </x:c>
      <x:c r="R14" s="159" t="str">
        <x:v>세계관 설명을 물건의 표면과 배열로 전달한다.</x:v>
      </x:c>
      <x:c r="S14" s="198" t="str">
        <x:v>LOCKED_v1</x:v>
      </x:c>
    </x:row>
    <x:row r="15" ht="88" customHeight="1">
      <x:c r="A15" s="192" t="str">
        <x:v>051</x:v>
      </x:c>
      <x:c r="B15" s="192" t="str">
        <x:v>H. 사람이 사는 곳</x:v>
      </x:c>
      <x:c r="C15" s="192" t="str">
        <x:v>남아 있는 웃음</x:v>
      </x:c>
      <x:c r="D15" s="192" t="str">
        <x:v>72%</x:v>
      </x:c>
      <x:c r="E15" s="190" t="n">
        <x:v>400</x:v>
      </x:c>
      <x:c r="F15" s="190" t="n">
        <x:v>15</x:v>
      </x:c>
      <x:c r="G15" s="190" t="n">
        <x:v>60</x:v>
      </x:c>
      <x:c r="H15" s="159" t="str">
        <x:v>CU 로우앵글, 아이 둘의 다리와 웃는 옆모습</x:v>
      </x:c>
      <x:c r="I15" s="159" t="str">
        <x:v>아이들이 카메라 가까이를 가로질러 뛰고 뒤쪽의 아인·카인은 흐릿하게 지나간다. 얼굴은 일반적인 생활 인물로만 읽히게 한다.</x:v>
      </x:c>
      <x:c r="J15" s="159" t="str">
        <x:v>텍스트 없음.</x:v>
      </x:c>
      <x:c r="K15" s="159" t="str">
        <x:v>짧은 웃음과 빠른 발소리. 말 내용은 알아듣지 못하게.</x:v>
      </x:c>
      <x:c r="L15" s="159" t="str">
        <x:v>냉백 형광 아래 피부색은 자연스럽게. 따뜻한 역광이나 몽환 필터 금지.</x:v>
      </x:c>
      <x:c r="M15" s="159" t="str">
        <x:v>재난 뒤에도 아이들이 뛰고 웃는다는 사실을 본다.</x:v>
      </x:c>
      <x:c r="N15" s="159" t="str">
        <x:v>아인과 카인이 지키는 대상은 추상적인 인류가 아니라 이런 무심한 일상의 지속임을 느낀다.</x:v>
      </x:c>
      <x:c r="O15" s="159" t="str">
        <x:v>희망은 선언되지 않고, 당사자조차 특별하다고 여기지 않는 생활로 남는다.</x:v>
      </x:c>
      <x:c r="P15" s="159" t="str">
        <x:v>허브 NPC의 반복 동선과 시간대 변화. 세계가 플레이어 없이도 움직인다는 신호.</x:v>
      </x:c>
      <x:c r="Q15" s="159" t="str">
        <x:v>회상 속 아이와 외형을 맞추지 않는다. 아인의 감정 리액션을 삽입하지 않는다.</x:v>
      </x:c>
      <x:c r="R15" s="159" t="str">
        <x:v>감정 완충은 감상적으로 늘이지 않고 한 번 스쳐 지나간다.</x:v>
      </x:c>
      <x:c r="S15" s="198" t="str">
        <x:v>LOCKED_v1</x:v>
      </x:c>
    </x:row>
    <x:row r="16" ht="88" customHeight="1">
      <x:c r="A16" s="192" t="str">
        <x:v>052</x:v>
      </x:c>
      <x:c r="B16" s="192" t="str">
        <x:v>H. 사람이 사는 곳</x:v>
      </x:c>
      <x:c r="C16" s="192" t="str">
        <x:v>손으로 고친 운영</x:v>
      </x:c>
      <x:c r="D16" s="192" t="str">
        <x:v>64%</x:v>
      </x:c>
      <x:c r="E16" s="190" t="n">
        <x:v>380</x:v>
      </x:c>
      <x:c r="F16" s="190" t="n">
        <x:v>20</x:v>
      </x:c>
      <x:c r="G16" s="190" t="n">
        <x:v>25</x:v>
      </x:c>
      <x:c r="H16" s="159" t="str">
        <x:v>MS, 콘크리트 벽의 배급표</x:v>
      </x:c>
      <x:c r="I16" s="159" t="str">
        <x:v>인쇄된 표 위에 날짜·수량·이름을 여러 번 덧쓰고 붙였다 떼어낸 테이프 자국을 남긴다. 수정 흔적이 본문보다 더 많아 보이게 한다.</x:v>
      </x:c>
      <x:c r="J16" s="159" t="str">
        <x:v>읽혀야 하는 핵심 숫자만 선명하고 나머지는 생활 문서처럼 흐리게.</x:v>
      </x:c>
      <x:c r="K16" s="159" t="str">
        <x:v>종이 모서리가 형광등 바람에 살짝 떨리는 소리.</x:v>
      </x:c>
      <x:c r="L16" s="159" t="str">
        <x:v>누런 종이와 검은 필기, 냉백 반사. 붉은 경고색 남발 금지.</x:v>
      </x:c>
      <x:c r="M16" s="159" t="str">
        <x:v>배급 체계가 계속 바뀌며 유지된다는 사실을 본다.</x:v>
      </x:c>
      <x:c r="N16" s="159" t="str">
        <x:v>공식 시스템이 아니라 누군가의 반복 수정이 질서를 살리고 있음을 읽는다.</x:v>
      </x:c>
      <x:c r="O16" s="159" t="str">
        <x:v>황혼의 세계는 완성된 규칙보다 매일 고쳐 쓰는 사람들 덕분에 지속된다.</x:v>
      </x:c>
      <x:c r="P16" s="159" t="str">
        <x:v>허브 상태 변화와 자원 부족을 게시판 내용으로 보여주는 다이에제틱 정보판.</x:v>
      </x:c>
      <x:c r="Q16" s="159" t="str">
        <x:v>게임 UI처럼 깔끔한 표 금지. 오탈자보다 손수정의 방향·층위 일관성 관리.</x:v>
      </x:c>
      <x:c r="R16" s="159" t="str">
        <x:v>정보컷이지만 손의 흔적으로 인간성을 남긴다.</x:v>
      </x:c>
      <x:c r="S16" s="198" t="str">
        <x:v>LOCKED_v1</x:v>
      </x:c>
    </x:row>
    <x:row r="17" ht="88" customHeight="1">
      <x:c r="A17" s="192" t="str">
        <x:v>053</x:v>
      </x:c>
      <x:c r="B17" s="192" t="str">
        <x:v>H. 사람이 사는 곳</x:v>
      </x:c>
      <x:c r="C17" s="192" t="str">
        <x:v>너무 멀쩡한 천장</x:v>
      </x:c>
      <x:c r="D17" s="192" t="str">
        <x:v>62%</x:v>
      </x:c>
      <x:c r="E17" s="190" t="n">
        <x:v>400</x:v>
      </x:c>
      <x:c r="F17" s="190" t="n">
        <x:v>25</x:v>
      </x:c>
      <x:c r="G17" s="190" t="n">
        <x:v>60</x:v>
      </x:c>
      <x:c r="H17" s="159" t="str">
        <x:v>MS, 천장 배관과 콘크리트 평면</x:v>
      </x:c>
      <x:c r="I17" s="159" t="str">
        <x:v>배관 연결부와 오래된 페인트는 낡았지만 콘크리트 자체에는 금이 하나도 없다. 화면 중앙이 아니라 이동 중 스쳐 보는 상단에 둔다.</x:v>
      </x:c>
      <x:c r="J17" s="159" t="str">
        <x:v>텍스트 없음.</x:v>
      </x:c>
      <x:c r="K17" s="159" t="str">
        <x:v>배관 안의 낮은 물 흐름과 형광등 진동.</x:v>
      </x:c>
      <x:c r="L17" s="159" t="str">
        <x:v>냉백 형광. 균열을 강조할 대비선 자체가 없다.</x:v>
      </x:c>
      <x:c r="M17" s="159" t="str">
        <x:v>오래된 벙커치고 천장이 유난히 멀쩡하다는 이상을 느낀다.</x:v>
      </x:c>
      <x:c r="N17" s="159" t="str">
        <x:v>벙커가 잘 버틴 것이 아니라 애초에 공격 대상에서 비켜나 있었다는 진실로 의미가 바뀐다.</x:v>
      </x:c>
      <x:c r="O17" s="159" t="str">
        <x:v>안전해 보이는 장소도 더 큰 시스템 안에서는 보존된 우리일 수 있다.</x:v>
      </x:c>
      <x:c r="P17" s="159" t="str">
        <x:v>파괴 불가 허브를 편의로 숨기지 않고 세계 규칙의 의문으로 심는 환경 로어.</x:v>
      </x:c>
      <x:c r="Q17" s="159" t="str">
        <x:v>🎣 강조 금지. 카메라 정지·줌·붉은 표시 금지. 금 하나도 그리지 않는다.</x:v>
      </x:c>
      <x:c r="R17" s="159" t="str">
        <x:v>복선은 크게 외치지 않고 배경의 정상성으로 남긴다.</x:v>
      </x:c>
      <x:c r="S17" s="198" t="str">
        <x:v>LOCKED_v1</x:v>
      </x:c>
    </x:row>
    <x:row r="18" ht="88" customHeight="1">
      <x:c r="A18" s="192" t="str">
        <x:v>054</x:v>
      </x:c>
      <x:c r="B18" s="192" t="str">
        <x:v>H. 사람이 사는 곳</x:v>
      </x:c>
      <x:c r="C18" s="192" t="str">
        <x:v>질문을 본 사람</x:v>
      </x:c>
      <x:c r="D18" s="192" t="str">
        <x:v>66%</x:v>
      </x:c>
      <x:c r="E18" s="190" t="n">
        <x:v>400</x:v>
      </x:c>
      <x:c r="F18" s="190" t="n">
        <x:v>15</x:v>
      </x:c>
      <x:c r="G18" s="190" t="n">
        <x:v>25</x:v>
      </x:c>
      <x:c r="H18" s="159" t="str">
        <x:v>CU, 걸으며 위를 보는 카인</x:v>
      </x:c>
      <x:c r="I18" s="159" t="str">
        <x:v>카인은 몸을 멈추지 않고 눈과 턱만 잠깐 위로 든다. 대검은 여전히 한 손으로 어깨에 얹혀 있다.</x:v>
      </x:c>
      <x:c r="J18" s="159" t="str">
        <x:v>대사 말풍선은 천장 쪽 빈 공간에 작게. 질문 뒤 설명 문구 없음.</x:v>
      </x:c>
      <x:c r="K18" s="159" t="str">
        <x:v>주변 소음이 이어진다. 질문을 위해 허브가 조용해지지 않는다.</x:v>
      </x:c>
      <x:c r="L18" s="159" t="str">
        <x:v>냉백 형광이 흉터를 짧게 가로지른다.</x:v>
      </x:c>
      <x:c r="M18" s="159" t="str">
        <x:v>카인도 벙커의 이상함을 눈치챈다.</x:v>
      </x:c>
      <x:c r="N18" s="159" t="str">
        <x:v>정답을 가진 사람이 아니라 이상을 지나치지 않는 관찰자였음이 보인다.</x:v>
      </x:c>
      <x:c r="O18" s="159" t="str">
        <x:v>황혼의 좋은 질문은 곧바로 퀘스트가 되지 않고 오래 남을 수 있다.</x:v>
      </x:c>
      <x:c r="P18" s="159" t="str">
        <x:v>동료의 선택적 환경 대사. 퀘스트 마커 없이 세계 의문을 제공.</x:v>
      </x:c>
      <x:c r="Q18" s="159" t="str">
        <x:v>걸음을 멈추지 않는다. 과한 의심 표정·카메라 줌 금지. 카인은 반보 뒤 흐름 유지.</x:v>
      </x:c>
      <x:c r="R18" s="159" t="str">
        <x:v>질문은 짧게, 장면은 계속 움직여 복선을 일상 속에 묻는다.</x:v>
      </x:c>
      <x:c r="S18" s="198" t="str">
        <x:v>LOCKED_v1</x:v>
      </x:c>
    </x:row>
    <x:row r="19" ht="88" customHeight="1">
      <x:c r="A19" s="192" t="str">
        <x:v>055</x:v>
      </x:c>
      <x:c r="B19" s="192" t="str">
        <x:v>H. 사람이 사는 곳</x:v>
      </x:c>
      <x:c r="C19" s="192" t="str">
        <x:v>답하지 않는 통과</x:v>
      </x:c>
      <x:c r="D19" s="192" t="str">
        <x:v>64%</x:v>
      </x:c>
      <x:c r="E19" s="190" t="n">
        <x:v>400</x:v>
      </x:c>
      <x:c r="F19" s="190" t="n">
        <x:v>10</x:v>
      </x:c>
      <x:c r="G19" s="190" t="n">
        <x:v>25</x:v>
      </x:c>
      <x:c r="H19" s="159" t="str">
        <x:v>MS, 아인 흉상~허리 측면 이동</x:v>
      </x:c>
      <x:c r="I19" s="159" t="str">
        <x:v>아인은 시선을 앞에 둔 채 같은 보폭으로 걷는다. 입술도 움직이지 않는다. 카인의 그림자나 대검 끝만 뒤에 걸쳐도 된다.</x:v>
      </x:c>
      <x:c r="J19" s="159" t="str">
        <x:v>텍스트 없음.</x:v>
      </x:c>
      <x:c r="K19" s="159" t="str">
        <x:v>주변 생활 소음만 유지.</x:v>
      </x:c>
      <x:c r="L19" s="159" t="str">
        <x:v>냉백 형광이 지나갈 때마다 얼굴 명암만 바뀐다.</x:v>
      </x:c>
      <x:c r="M19" s="159" t="str">
        <x:v>아인은 질문에 답하지 않고 계속 걷는다.</x:v>
      </x:c>
      <x:c r="N19" s="159" t="str">
        <x:v>모른다는 말조차 하지 않는 습관과, 안전의 이유를 묻지 않고 살아온 시간이 함께 읽힌다.</x:v>
      </x:c>
      <x:c r="O19" s="159" t="str">
        <x:v>모든 질문을 즉시 해결하지 않는 태도가 황혼의 세계를 넓게 남긴다.</x:v>
      </x:c>
      <x:c r="P19" s="159" t="str">
        <x:v>플레이어의 무응답이 선택지 누락이 아니라 캐릭터 성향으로 기능하는 컷신.</x:v>
      </x:c>
      <x:c r="Q19" s="159" t="str">
        <x:v>대사·고개 돌림 금지. 왼쪽 견갑·오른쪽 건틀릿 좌우 유지.</x:v>
      </x:c>
      <x:c r="R19" s="159" t="str">
        <x:v>침묵은 장면 정지가 아니라 이동 속에서 처리한다.</x:v>
      </x:c>
      <x:c r="S19" s="198" t="str">
        <x:v>LOCKED_v1</x:v>
      </x:c>
    </x:row>
    <x:row r="20" ht="88" customHeight="1">
      <x:c r="A20" s="192" t="str">
        <x:v>056</x:v>
      </x:c>
      <x:c r="B20" s="192" t="str">
        <x:v>H. 사람이 사는 곳</x:v>
      </x:c>
      <x:c r="C20" s="192" t="str">
        <x:v>영웅이 아닌 두 사람</x:v>
      </x:c>
      <x:c r="D20" s="192" t="str">
        <x:v>92%</x:v>
      </x:c>
      <x:c r="E20" s="190" t="n">
        <x:v>470</x:v>
      </x:c>
      <x:c r="F20" s="190" t="n">
        <x:v>30</x:v>
      </x:c>
      <x:c r="G20" s="190" t="n">
        <x:v>120</x:v>
      </x:c>
      <x:c r="H20" s="159" t="str">
        <x:v>WIDE, 인파 사이의 전신 이동</x:v>
      </x:c>
      <x:c r="I20" s="159" t="str">
        <x:v>아인과 카인은 군중보다 조금 크지만 중앙 영웅 구도로 세우지 않는다. 사람들의 동선이 둘을 자연스럽게 갈라 지나가고 아무도 시선을 주지 않는다.</x:v>
      </x:c>
      <x:c r="J20" s="159" t="str">
        <x:v>텍스트 없음.</x:v>
      </x:c>
      <x:c r="K20" s="159" t="str">
        <x:v>대화 조각과 수레 바퀴, 발소리가 겹친다.</x:v>
      </x:c>
      <x:c r="L20" s="159" t="str">
        <x:v>냉백 형광과 드럼통 엠버가 구간별로 섞이지만 두 사람에게 스포트라이트 없음.</x:v>
      </x:c>
      <x:c r="M20" s="159" t="str">
        <x:v>둘도 벙커의 수많은 생존자 중 하나로 보인다.</x:v>
      </x:c>
      <x:c r="N20" s="159" t="str">
        <x:v>인식표가 없는 이들이 아직 이름난 용병도, 체계가 인정한 사람도 아니었음을 읽는다.</x:v>
      </x:c>
      <x:c r="O20" s="159" t="str">
        <x:v>세계는 주인공을 위해 멈추지 않으며 책임은 주목 없이 시작된다.</x:v>
      </x:c>
      <x:c r="P20" s="159" t="str">
        <x:v>저평판·미등록 상태의 NPC 반응. 플레이어가 허브의 중심이 아님을 체감.</x:v>
      </x:c>
      <x:c r="Q20" s="159" t="str">
        <x:v>아무도 쳐다보지 않는다. 카인은 반보 뒤. 군중이 두 사람을 피해 과장되게 길을 열지 않는다.</x:v>
      </x:c>
      <x:c r="R20" s="159" t="str">
        <x:v>주인공성은 중앙 배치가 아니라 반복 행동으로 만든다.</x:v>
      </x:c>
      <x:c r="S20" s="198" t="str">
        <x:v>LOCKED_v1</x:v>
      </x:c>
    </x:row>
    <x:row r="21" ht="88" customHeight="1">
      <x:c r="A21" s="192" t="str">
        <x:v>057</x:v>
      </x:c>
      <x:c r="B21" s="192" t="str">
        <x:v>H. 사람이 사는 곳</x:v>
      </x:c>
      <x:c r="C21" s="192" t="str">
        <x:v>비어 있는 신분</x:v>
      </x:c>
      <x:c r="D21" s="192" t="str">
        <x:v>56%</x:v>
      </x:c>
      <x:c r="E21" s="190" t="n">
        <x:v>380</x:v>
      </x:c>
      <x:c r="F21" s="190" t="n">
        <x:v>25</x:v>
      </x:c>
      <x:c r="G21" s="190" t="n">
        <x:v>65</x:v>
      </x:c>
      <x:c r="H21" s="159" t="str">
        <x:v>CU, 목과 쇄골 전면</x:v>
      </x:c>
      <x:c r="I21" s="159" t="str">
        <x:v>검은 스카프와 옷깃 사이 목에 인식표 줄이 없다는 빈 공간을 보인다. 목덜미 코어를 억지로 같은 컷에 넣지 않는다.</x:v>
      </x:c>
      <x:c r="J21" s="159" t="str">
        <x:v>텍스트 없음.</x:v>
      </x:c>
      <x:c r="K21" s="159" t="str">
        <x:v>멀리 금속표가 부딪히는 소리가 한 번 지나가도 좋다.</x:v>
      </x:c>
      <x:c r="L21" s="159" t="str">
        <x:v>차가운 피부색과 어두운 옷. 발광 없음.</x:v>
      </x:c>
      <x:c r="M21" s="159" t="str">
        <x:v>아인의 목에 등급 인식표가 없음을 시각적으로 안다.</x:v>
      </x:c>
      <x:c r="N21" s="159" t="str">
        <x:v>2년 무등록이 무관심이 아니라 성장과 표적화를 늦춘 생존 전략으로 재해석된다.</x:v>
      </x:c>
      <x:c r="O21" s="159" t="str">
        <x:v>황혼에서는 없는 표식도 선택과 보호의 형태가 된다.</x:v>
      </x:c>
      <x:c r="P21" s="159" t="str">
        <x:v>랭크·소속·평판을 머리 위 UI가 아니라 캐릭터 몸의 장착물로 전달.</x:v>
      </x:c>
      <x:c r="Q21" s="159" t="str">
        <x:v>목걸이·장식·임시 태그 금지. 빈 목이 명확해야 한다.</x:v>
      </x:c>
      <x:c r="R21" s="159" t="str">
        <x:v>정보를 설명하지 않고 결여 자체를 클로즈업한다.</x:v>
      </x:c>
      <x:c r="S21" s="198" t="str">
        <x:v>LOCKED_v1</x:v>
      </x:c>
    </x:row>
    <x:row r="22" ht="88" customHeight="1">
      <x:c r="A22" s="192" t="str">
        <x:v>058</x:v>
      </x:c>
      <x:c r="B22" s="192" t="str">
        <x:v>H. 사람이 사는 곳</x:v>
      </x:c>
      <x:c r="C22" s="192" t="str">
        <x:v>더 아래의 생활</x:v>
      </x:c>
      <x:c r="D22" s="192" t="str">
        <x:v>72%</x:v>
      </x:c>
      <x:c r="E22" s="190" t="n">
        <x:v>430</x:v>
      </x:c>
      <x:c r="F22" s="190" t="n">
        <x:v>30</x:v>
      </x:c>
      <x:c r="G22" s="190" t="n">
        <x:v>140</x:v>
      </x:c>
      <x:c r="H22" s="159" t="str">
        <x:v>MS, 통로 끝과 아래로 꺼지는 계단</x:v>
      </x:c>
      <x:c r="I22" s="159" t="str">
        <x:v>붐비는 통로가 끝나고 어두운 계단이 화면 중앙 아래로 이어진다. 아인과 카인은 계단 입구에 작게 걸친다.</x:v>
      </x:c>
      <x:c r="J22" s="159" t="str">
        <x:v>텍스트 없음.</x:v>
      </x:c>
      <x:c r="K22" s="159" t="str">
        <x:v>위쪽 군중 소리가 계단을 내려갈수록 먹먹해진다.</x:v>
      </x:c>
      <x:c r="L22" s="159" t="str">
        <x:v>냉백 형광이 계단 중간에서 끊기고 아래에는 화로의 낮은 엠버가 아주 희미하게 올라온다.</x:v>
      </x:c>
      <x:c r="M22" s="159" t="str">
        <x:v>둘이 벙커의 더 깊은 구역으로 이동한다.</x:v>
      </x:c>
      <x:c r="N22" s="159" t="str">
        <x:v>사람이 사는 표면 아래에 무기·등급·빚을 운영하는 또 다른 층이 있음을 준비한다.</x:v>
      </x:c>
      <x:c r="O22" s="159" t="str">
        <x:v>황혼의 장소는 내려갈수록 안전보다 책임의 구조가 더 선명해진다.</x:v>
      </x:c>
      <x:c r="P22" s="159" t="str">
        <x:v>허브 내 제작 구역으로 이어지는 존 전환. 빛과 소리로 기능 구역을 구분.</x:v>
      </x:c>
      <x:c r="Q22" s="159" t="str">
        <x:v>계단이 던전 입구처럼 위협적으로 과장되지 않게. 카인이 앞서지 않음.</x:v>
      </x:c>
      <x:c r="R22" s="159" t="str">
        <x:v>장면 전환은 표지판보다 광원과 소리의 변화로 만든다.</x:v>
      </x:c>
      <x:c r="S22" s="198" t="str">
        <x:v>LOCKED_v1</x:v>
      </x:c>
    </x:row>
    <x:row r="23" ht="88" customHeight="1">
      <x:c r="A23" s="193" t="str">
        <x:v>059</x:v>
      </x:c>
      <x:c r="B23" s="193" t="str">
        <x:v>I. 장인의 손</x:v>
      </x:c>
      <x:c r="C23" s="193" t="str">
        <x:v>따뜻하지 않은 불</x:v>
      </x:c>
      <x:c r="D23" s="193" t="str">
        <x:v>78%</x:v>
      </x:c>
      <x:c r="E23" s="190" t="n">
        <x:v>430</x:v>
      </x:c>
      <x:c r="F23" s="190" t="n">
        <x:v>0</x:v>
      </x:c>
      <x:c r="G23" s="190" t="n">
        <x:v>25</x:v>
      </x:c>
      <x:c r="H23" s="159" t="str">
        <x:v>MS, 화로와 작업장 입구</x:v>
      </x:c>
      <x:c r="I23" s="159" t="str">
        <x:v>화로가 화면 하단에서 타고 쇠·망치·집게 실루엣이 위로 솟는다. 불이 공간을 포근하게 감싸지 않고 얼굴 아래를 거칠게 비춘다.</x:v>
      </x:c>
      <x:c r="J23" s="159" t="str">
        <x:v>텍스트 없음.</x:v>
      </x:c>
      <x:c r="K23" s="159" t="str">
        <x:v>‘화르륵’은 화로 안쪽에 낮게.</x:v>
      </x:c>
      <x:c r="L23" s="159" t="str">
        <x:v>엠버 오렌지 단독 화염과 검은 그을음. 붉은 네온이나 청록 불꽃 금지.</x:v>
      </x:c>
      <x:c r="M23" s="159" t="str">
        <x:v>벙커 안의 대장간과 제작 구역을 처음 본다.</x:v>
      </x:c>
      <x:c r="N23" s="159" t="str">
        <x:v>이 따뜻한 색이 휴식이 아니라 무기와 빚이 만들어지는 노동의 빛임을 안다.</x:v>
      </x:c>
      <x:c r="O23" s="159" t="str">
        <x:v>황혼의 온기는 안식보다 누군가 계속 일하고 있다는 증거다.</x:v>
      </x:c>
      <x:c r="P23" s="159" t="str">
        <x:v>게임의 대장간·무기 정비 허브를 광원과 소리로 즉시 식별.</x:v>
      </x:c>
      <x:c r="Q23" s="159" t="str">
        <x:v>화로광은 아래→위. 공간 전체를 아늑하게 보정하지 않는다.</x:v>
      </x:c>
      <x:c r="R23" s="159" t="str">
        <x:v>화려한 불꽃보다 무게와 노동 질감을 강조한다.</x:v>
      </x:c>
      <x:c r="S23" s="198" t="str">
        <x:v>LOCKED_v1</x:v>
      </x:c>
    </x:row>
    <x:row r="24" ht="88" customHeight="1">
      <x:c r="A24" s="193" t="str">
        <x:v>060</x:v>
      </x:c>
      <x:c r="B24" s="193" t="str">
        <x:v>I. 장인의 손</x:v>
      </x:c>
      <x:c r="C24" s="193" t="str">
        <x:v>돌아보지 않는 장인</x:v>
      </x:c>
      <x:c r="D24" s="193" t="str">
        <x:v>70%</x:v>
      </x:c>
      <x:c r="E24" s="190" t="n">
        <x:v>430</x:v>
      </x:c>
      <x:c r="F24" s="190" t="n">
        <x:v>20</x:v>
      </x:c>
      <x:c r="G24" s="190" t="n">
        <x:v>20</x:v>
      </x:c>
      <x:c r="H24" s="159" t="str">
        <x:v>MS 후면, 굽은 등과 작업대</x:v>
      </x:c>
      <x:c r="I24" s="159" t="str">
        <x:v>한 장인은 화로 앞에서 등을 보인 채 작업을 멈추지 않는다. 굽은 척추와 넓어진 어깨 옷자락으로 세월을 보여준다.</x:v>
      </x:c>
      <x:c r="J24" s="159" t="str">
        <x:v>텍스트 없음.</x:v>
      </x:c>
      <x:c r="K24" s="159" t="str">
        <x:v>망치 소리가 한 번 멈추고 금속이 식는 소리.</x:v>
      </x:c>
      <x:c r="L24" s="159" t="str">
        <x:v>아래쪽 엠버가 얼굴 대신 등과 손 밑을 비춘다.</x:v>
      </x:c>
      <x:c r="M24" s="159" t="str">
        <x:v>말이 적은 장인을 자세와 작업으로 소개한다.</x:v>
      </x:c>
      <x:c r="N24" s="159" t="str">
        <x:v>아인과의 관계가 인사보다 반복된 물건 교환 위에 세워졌음을 느낀다.</x:v>
      </x:c>
      <x:c r="O24" s="159" t="str">
        <x:v>황혼의 인물은 이름보다 오래 반복한 자세로 먼저 기억된다.</x:v>
      </x:c>
      <x:c r="P24" s="159" t="str">
        <x:v>제작 NPC의 고정 실루엣·대기 애니메이션 기준.</x:v>
      </x:c>
      <x:c r="Q24" s="159" t="str">
        <x:v>얼굴 먼저 공개 금지. 젊고 곧은 체형으로 보정하지 않는다.</x:v>
      </x:c>
      <x:c r="R24" s="159" t="str">
        <x:v>등장 연출은 크지 않지만 실루엣 하나로 직업과 시간을 읽힌다.</x:v>
      </x:c>
      <x:c r="S24" s="198" t="str">
        <x:v>LOCKED_v1</x:v>
      </x:c>
    </x:row>
    <x:row r="25" ht="88" customHeight="1">
      <x:c r="A25" s="193" t="str">
        <x:v>061</x:v>
      </x:c>
      <x:c r="B25" s="193" t="str">
        <x:v>I. 장인의 손</x:v>
      </x:c>
      <x:c r="C25" s="193" t="str">
        <x:v>무기를 받는 손</x:v>
      </x:c>
      <x:c r="D25" s="193" t="str">
        <x:v>64%</x:v>
      </x:c>
      <x:c r="E25" s="190" t="n">
        <x:v>400</x:v>
      </x:c>
      <x:c r="F25" s="190" t="n">
        <x:v>15</x:v>
      </x:c>
      <x:c r="G25" s="190" t="n">
        <x:v>55</x:v>
      </x:c>
      <x:c r="H25" s="159" t="str">
        <x:v>CU, 낫자루를 받는 두 손</x:v>
      </x:c>
      <x:c r="I25" s="159" t="str">
        <x:v>굵은 마디, 화상 자국, 검댕이 낀 손톱이 낫의 차가운 자루를 감싼다. 아인의 손은 프레임 한쪽에 잠깐 남아 교대 순간만 보인다.</x:v>
      </x:c>
      <x:c r="J25" s="159" t="str">
        <x:v>텍스트 없음.</x:v>
      </x:c>
      <x:c r="K25" s="159" t="str">
        <x:v>나무·금속이 손바닥에 닿는 낮은 ‘툭’.</x:v>
      </x:c>
      <x:c r="L25" s="159" t="str">
        <x:v>엠버 아래 손의 주름과 흉이 깊게 보이되 과도한 고어 없음.</x:v>
      </x:c>
      <x:c r="M25" s="159" t="str">
        <x:v>이 무기를 만든 사람의 손이 어떤 몸인지 본다.</x:v>
      </x:c>
      <x:c r="N25" s="159" t="str">
        <x:v>전투 전에 이미 장인의 몸과 시간이 낫에 들어가 있었다는 사실을 읽는다.</x:v>
      </x:c>
      <x:c r="O25" s="159" t="str">
        <x:v>장비는 전리품이 아니라 누군가 먼저 치른 손상의 결과다.</x:v>
      </x:c>
      <x:c r="P25" s="159" t="str">
        <x:v>무기 정비 상호작용에서 아이템이 공중으로 사라지지 않고 손에서 손으로 전달된다.</x:v>
      </x:c>
      <x:c r="Q25" s="159" t="str">
        <x:v>화상 자국 위치 일관성. 손가락 수·낫자루 굵기 오류 금지.</x:v>
      </x:c>
      <x:c r="R25" s="159" t="str">
        <x:v>감정 대신 손의 표면으로 관계와 비용을 전달한다.</x:v>
      </x:c>
      <x:c r="S25" s="198" t="str">
        <x:v>LOCKED_v1</x:v>
      </x:c>
    </x:row>
    <x:row r="26" ht="88" customHeight="1">
      <x:c r="A26" s="193" t="str">
        <x:v>062</x:v>
      </x:c>
      <x:c r="B26" s="193" t="str">
        <x:v>I. 장인의 손</x:v>
      </x:c>
      <x:c r="C26" s="193" t="str">
        <x:v>검사 1 — 곡률</x:v>
      </x:c>
      <x:c r="D26" s="193" t="str">
        <x:v>58%</x:v>
      </x:c>
      <x:c r="E26" s="190" t="n">
        <x:v>225</x:v>
      </x:c>
      <x:c r="F26" s="190" t="n">
        <x:v>20</x:v>
      </x:c>
      <x:c r="G26" s="190" t="n">
        <x:v>5</x:v>
      </x:c>
      <x:c r="H26" s="159" t="str">
        <x:v>인서트 1/4, 낫을 눈높이로 들어 측면 확인</x:v>
      </x:c>
      <x:c r="I26" s="159" t="str">
        <x:v>칼날의 전체 곡선을 화면 가로축에 맞추고 장인의 눈은 프레임 가장자리에 일부만 걸친다. 무기와 시선의 평행을 명확히 한다.</x:v>
      </x:c>
      <x:c r="J26" s="159" t="str">
        <x:v>텍스트 없음.</x:v>
      </x:c>
      <x:c r="K26" s="159" t="str">
        <x:v>무음.</x:v>
      </x:c>
      <x:c r="L26" s="159" t="str">
        <x:v>엠버 하부광, 칼날 상단은 차갑게.</x:v>
      </x:c>
      <x:c r="M26" s="159" t="str">
        <x:v>장인이 먼저 낫의 곡률과 변형을 검사한다.</x:v>
      </x:c>
      <x:c r="N26" s="159" t="str">
        <x:v>아인의 전투 반경과 사용 습관을 무기의 휘어짐만으로 읽는 장인의 숙련이 보인다.</x:v>
      </x:c>
      <x:c r="O26" s="159" t="str">
        <x:v>황혼의 기술은 사람을 보기 전에 그가 남긴 궤적을 읽는 일이다.</x:v>
      </x:c>
      <x:c r="P26" s="159" t="str">
        <x:v>공격 아크와 무기 변형 상태를 제작 NPC가 진단하는 첫 단계.</x:v>
      </x:c>
      <x:c r="Q26" s="159" t="str">
        <x:v>같은 낫 모델 유지. 칼날을 짧게 만들지 않는다. 062~065 연속 동작.</x:v>
      </x:c>
      <x:c r="R26" s="159" t="str">
        <x:v>검사 과정은 빠르지만 무엇을 보는지 공간적으로 명료하게.</x:v>
      </x:c>
      <x:c r="S26" s="198" t="str">
        <x:v>LOCKED_v1</x:v>
      </x:c>
    </x:row>
    <x:row r="27" ht="88" customHeight="1">
      <x:c r="A27" s="193" t="str">
        <x:v>063</x:v>
      </x:c>
      <x:c r="B27" s="193" t="str">
        <x:v>I. 장인의 손</x:v>
      </x:c>
      <x:c r="C27" s="193" t="str">
        <x:v>검사 2 — 끝자락</x:v>
      </x:c>
      <x:c r="D27" s="193" t="str">
        <x:v>58%</x:v>
      </x:c>
      <x:c r="E27" s="190" t="n">
        <x:v>225</x:v>
      </x:c>
      <x:c r="F27" s="190" t="n">
        <x:v>5</x:v>
      </x:c>
      <x:c r="G27" s="190" t="n">
        <x:v>5</x:v>
      </x:c>
      <x:c r="H27" s="159" t="str">
        <x:v>인서트 2/4, 손끝과 칼날 외곽 1/4 ECU</x:v>
      </x:c>
      <x:c r="I27" s="159" t="str">
        <x:v>화상 자국 있는 손가락이 정확히 스위트 스폿 부근의 마모를 따라간다. 발광 입자는 꺼져 있거나 아주 약하게만 반응한다.</x:v>
      </x:c>
      <x:c r="J27" s="159" t="str">
        <x:v>텍스트 없음.</x:v>
      </x:c>
      <x:c r="K27" s="159" t="str">
        <x:v>손가락이 날을 스치는 아주 작은 마찰음.</x:v>
      </x:c>
      <x:c r="L27" s="159" t="str">
        <x:v>어두운 철색과 낮은 엠버. 칼날 전체 발광 금지.</x:v>
      </x:c>
      <x:c r="M27" s="159" t="str">
        <x:v>장인이 칼날 끝의 상태를 확인한다.</x:v>
      </x:c>
      <x:c r="N27" s="159" t="str">
        <x:v>그가 아인이 어디로 걸고 당기는지 낫의 닳은 자리만으로 알고 있음을 읽는다.</x:v>
      </x:c>
      <x:c r="O27" s="159" t="str">
        <x:v>사용한 사람의 판단은 무기에 흔적으로 남고, 숙련자는 그 흔적을 읽는다.</x:v>
      </x:c>
      <x:c r="P27" s="159" t="str">
        <x:v>스위트 스폿 내구도·날 상태·정밀 타격의 제작 피드백.</x:v>
      </x:c>
      <x:c r="Q27" s="159" t="str">
        <x:v>외곽 4분의 1 위치 정확히 유지. 손가락이 날에 베이는 연출 금지.</x:v>
      </x:c>
      <x:c r="R27" s="159" t="str">
        <x:v>액션의 핵심 지점을 설명문 없이 다시 각인한다.</x:v>
      </x:c>
      <x:c r="S27" s="198" t="str">
        <x:v>LOCKED_v1</x:v>
      </x:c>
    </x:row>
    <x:row r="28" ht="88" customHeight="1">
      <x:c r="A28" s="193" t="str">
        <x:v>064</x:v>
      </x:c>
      <x:c r="B28" s="193" t="str">
        <x:v>I. 장인의 손</x:v>
      </x:c>
      <x:c r="C28" s="193" t="str">
        <x:v>검사 3 — 이음새</x:v>
      </x:c>
      <x:c r="D28" s="193" t="str">
        <x:v>58%</x:v>
      </x:c>
      <x:c r="E28" s="190" t="n">
        <x:v>225</x:v>
      </x:c>
      <x:c r="F28" s="190" t="n">
        <x:v>5</x:v>
      </x:c>
      <x:c r="G28" s="190" t="n">
        <x:v>5</x:v>
      </x:c>
      <x:c r="H28" s="159" t="str">
        <x:v>인서트 3/4, 자루와 칼날 연결부 ECU</x:v>
      </x:c>
      <x:c r="I28" s="159" t="str">
        <x:v>장인이 손가락 마디나 작은 공구로 이음새를 짧게 두드린다. 진동이 자루를 따라가지만 시각 효과선은 최소.</x:v>
      </x:c>
      <x:c r="J28" s="159" t="str">
        <x:v>텍스트 없음.</x:v>
      </x:c>
      <x:c r="K28" s="159" t="str">
        <x:v>‘탁.’ 한 번만, 작고 단단하게.</x:v>
      </x:c>
      <x:c r="L28" s="159" t="str">
        <x:v>이음새 가장자리 엠버 반사. 자체 발광 없음.</x:v>
      </x:c>
      <x:c r="M28" s="159" t="str">
        <x:v>무기의 연결부가 풀리지 않았는지 검사한다.</x:v>
      </x:c>
      <x:c r="N28" s="159" t="str">
        <x:v>겉날보다 연결부의 미세한 이상이 생존을 결정한다는 장인의 기준이 보인다.</x:v>
      </x:c>
      <x:c r="O28" s="159" t="str">
        <x:v>황혼의 세계에서 힘은 통짜가 아니라 경로와 이음매를 통해 흐른다.</x:v>
      </x:c>
      <x:c r="P28" s="159" t="str">
        <x:v>결절·소켓·무기 조인트라는 게임 전투 언어를 일상 정비 장면에서 선학습.</x:v>
      </x:c>
      <x:c r="Q28" s="159" t="str">
        <x:v>이음새 구조를 매 컷 동일하게 유지. 전기 스캔·UI 금지.</x:v>
      </x:c>
      <x:c r="R28" s="159" t="str">
        <x:v>작은 소리 하나로 재료의 단단함과 긴장을 표현한다.</x:v>
      </x:c>
      <x:c r="S28" s="198" t="str">
        <x:v>LOCKED_v1</x:v>
      </x:c>
    </x:row>
    <x:row r="29" ht="88" customHeight="1">
      <x:c r="A29" s="193" t="str">
        <x:v>065</x:v>
      </x:c>
      <x:c r="B29" s="193" t="str">
        <x:v>I. 장인의 손</x:v>
      </x:c>
      <x:c r="C29" s="193" t="str">
        <x:v>검사 4 — 무게중심</x:v>
      </x:c>
      <x:c r="D29" s="193" t="str">
        <x:v>58%</x:v>
      </x:c>
      <x:c r="E29" s="190" t="n">
        <x:v>225</x:v>
      </x:c>
      <x:c r="F29" s="190" t="n">
        <x:v>5</x:v>
      </x:c>
      <x:c r="G29" s="190" t="n">
        <x:v>55</x:v>
      </x:c>
      <x:c r="H29" s="159" t="str">
        <x:v>인서트 4/4, 손바닥 위 자루 균형</x:v>
      </x:c>
      <x:c r="I29" s="159" t="str">
        <x:v>장인이 낫을 손바닥 한 점에 얹어 수평을 잡는다. 칼날과 자루가 프레임 양끝으로 이어져 실제 길이를 느끼게 한다.</x:v>
      </x:c>
      <x:c r="J29" s="159" t="str">
        <x:v>텍스트 없음.</x:v>
      </x:c>
      <x:c r="K29" s="159" t="str">
        <x:v>무기가 균형을 찾으며 내는 낮은 금속 울림.</x:v>
      </x:c>
      <x:c r="L29" s="159" t="str">
        <x:v>아래 엠버와 위 냉색의 경계가 무게중심 부근에 걸린다.</x:v>
      </x:c>
      <x:c r="M29" s="159" t="str">
        <x:v>마지막으로 무기의 균형을 확인한다.</x:v>
      </x:c>
      <x:c r="N29" s="159" t="str">
        <x:v>아인을 위한 낫이 힘보다 정확한 반경과 회수 동작을 위해 맞춰졌음을 읽는다.</x:v>
      </x:c>
      <x:c r="O29" s="159" t="str">
        <x:v>통제는 더 세게 드는 것이 아니라 중심을 잃지 않는 데서 시작된다.</x:v>
      </x:c>
      <x:c r="P29" s="159" t="str">
        <x:v>무기 핸들링·회복 프레임·중심 이동이 장비 개조와 연결되는 설계 언어.</x:v>
      </x:c>
      <x:c r="Q29" s="159" t="str">
        <x:v>062~065 동일 손·무기·광원. 비현실적으로 한 손가락 끝에 세우지 않는다.</x:v>
      </x:c>
      <x:c r="R29" s="159" t="str">
        <x:v>중량감은 정지와 균형으로, 화려한 회전은 쓰지 않는다.</x:v>
      </x:c>
      <x:c r="S29" s="198" t="str">
        <x:v>LOCKED_v1</x:v>
      </x:c>
    </x:row>
    <x:row r="30" ht="88" customHeight="1">
      <x:c r="A30" s="193" t="str">
        <x:v>066</x:v>
      </x:c>
      <x:c r="B30" s="193" t="str">
        <x:v>I. 장인의 손</x:v>
      </x:c>
      <x:c r="C30" s="193" t="str">
        <x:v>시간이 먼저 드러난 손</x:v>
      </x:c>
      <x:c r="D30" s="193" t="str">
        <x:v>56%</x:v>
      </x:c>
      <x:c r="E30" s="190" t="n">
        <x:v>430</x:v>
      </x:c>
      <x:c r="F30" s="190" t="n">
        <x:v>20</x:v>
      </x:c>
      <x:c r="G30" s="190" t="n">
        <x:v>180</x:v>
      </x:c>
      <x:c r="H30" s="159" t="str">
        <x:v>ECU, 낫자루를 쥔 장인의 손</x:v>
      </x:c>
      <x:c r="I30" s="159" t="str">
        <x:v>손가락 끝과 자루 사이가 아주 미세하게 흔들린다. 낫 전체나 팔이 떨리는 과장 대신 한두 픽셀 수준의 어긋남으로 보인다.</x:v>
      </x:c>
      <x:c r="J30" s="159" t="str">
        <x:v>텍스트 없음.</x:v>
      </x:c>
      <x:c r="K30" s="159" t="str">
        <x:v>무음. 화로 소리도 잠깐 낮춘다.</x:v>
      </x:c>
      <x:c r="L30" s="159" t="str">
        <x:v>엠버 하부광이 떨림 때문에 미세하게 위치만 변한다.</x:v>
      </x:c>
      <x:c r="M30" s="159" t="str">
        <x:v>장인의 손이 예전 같지 않다는 사실을 처음 본다.</x:v>
      </x:c>
      <x:c r="N30" s="159" t="str">
        <x:v>아인이 갚을 수 있는 시간이 무한하지 않다는 압력이 이 작은 떨림에서 시작됐음을 깨닫는다.</x:v>
      </x:c>
      <x:c r="O30" s="159" t="str">
        <x:v>황혼의 경고는 경보가 아니라 누군가의 손에서 먼저 나타난다.</x:v>
      </x:c>
      <x:c r="P30" s="159" t="str">
        <x:v>허브 NPC 상태가 회차에 따라 변하고 플레이어의 선택 동기를 만드는 비수치 신호.</x:v>
      </x:c>
      <x:c r="Q30" s="159" t="str">
        <x:v>⭐ 떨림 극미세. 얼굴 금지. 병명·상태이상 이펙트·붉은 경고 금지.</x:v>
      </x:c>
      <x:c r="R30" s="159" t="str">
        <x:v>감정 정점은 효과를 키우지 않고 주변 소리를 줄여 만든다.</x:v>
      </x:c>
      <x:c r="S30" s="198" t="str">
        <x:v>LOCKED_v1</x:v>
      </x:c>
    </x:row>
    <x:row r="31" ht="88" customHeight="1">
      <x:c r="A31" s="193" t="str">
        <x:v>067</x:v>
      </x:c>
      <x:c r="B31" s="193" t="str">
        <x:v>I. 장인의 손</x:v>
      </x:c>
      <x:c r="C31" s="193" t="str">
        <x:v>본 것을 말하지 않음</x:v>
      </x:c>
      <x:c r="D31" s="193" t="str">
        <x:v>58%</x:v>
      </x:c>
      <x:c r="E31" s="190" t="n">
        <x:v>400</x:v>
      </x:c>
      <x:c r="F31" s="190" t="n">
        <x:v>0</x:v>
      </x:c>
      <x:c r="G31" s="190" t="n">
        <x:v>120</x:v>
      </x:c>
      <x:c r="H31" s="159" t="str">
        <x:v>CU, 아인의 눈과 시선 이동</x:v>
      </x:c>
      <x:c r="I31" s="159" t="str">
        <x:v>아인의 눈이 프레임 아래 손에 머물렀다가 옆으로 떨어진다. 동공 떨림이나 눈물 없이 시선 지속 시간만 길게 한다.</x:v>
      </x:c>
      <x:c r="J31" s="159" t="str">
        <x:v>텍스트 없음.</x:v>
      </x:c>
      <x:c r="K31" s="159" t="str">
        <x:v>화로 소리만 돌아온다.</x:v>
      </x:c>
      <x:c r="L31" s="159" t="str">
        <x:v>눈 아래에 엠버 반사 한 줄. 홍채 자체 발광 금지.</x:v>
      </x:c>
      <x:c r="M31" s="159" t="str">
        <x:v>아인이 손떨림을 알아챘음을 안다.</x:v>
      </x:c>
      <x:c r="N31" s="159" t="str">
        <x:v>그녀가 모른 척한 것이 무관심이 아니라 상대의 약함을 입 밖에 내지 않는 방식으로 읽힌다.</x:v>
      </x:c>
      <x:c r="O31" s="159" t="str">
        <x:v>돌봄은 항상 묻거나 위로하는 형태로만 나타나지 않는다.</x:v>
      </x:c>
      <x:c r="P31" s="159" t="str">
        <x:v>관계 상태를 대화 선택지보다 시선과 후속 행동으로 축적.</x:v>
      </x:c>
      <x:c r="Q31" s="159" t="str">
        <x:v>표정 변화·눈물·입술 클로즈업 금지. 시선만 움직인다.</x:v>
      </x:c>
      <x:c r="R31" s="159" t="str">
        <x:v>감정 연기는 크지 않되 독자가 놓치지 않을 길이로 유지.</x:v>
      </x:c>
      <x:c r="S31" s="198" t="str">
        <x:v>LOCKED_v1</x:v>
      </x:c>
    </x:row>
    <x:row r="32" ht="88" customHeight="1">
      <x:c r="A32" s="193" t="str">
        <x:v>068</x:v>
      </x:c>
      <x:c r="B32" s="193" t="str">
        <x:v>I. 장인의 손</x:v>
      </x:c>
      <x:c r="C32" s="193" t="str">
        <x:v>침묵 속 결정</x:v>
      </x:c>
      <x:c r="D32" s="193" t="str">
        <x:v>72%</x:v>
      </x:c>
      <x:c r="E32" s="190" t="n">
        <x:v>400</x:v>
      </x:c>
      <x:c r="F32" s="190" t="n">
        <x:v>0</x:v>
      </x:c>
      <x:c r="G32" s="190" t="n">
        <x:v>180</x:v>
      </x:c>
      <x:c r="H32" s="159" t="str">
        <x:v>MS, 화로 앞에 선 아인 정면 또는 3/4</x:v>
      </x:c>
      <x:c r="I32" s="159" t="str">
        <x:v>아인은 낫을 기다리며 서 있고 장인은 프레임 아래 또는 밖에서 작업한다. 두 사람 사이 빈 공간을 크게 둔다.</x:v>
      </x:c>
      <x:c r="J32" s="159" t="str">
        <x:v>텍스트 없음.</x:v>
      </x:c>
      <x:c r="K32" s="159" t="str">
        <x:v>망치도 대화도 없는 짧은 정적.</x:v>
      </x:c>
      <x:c r="L32" s="159" t="str">
        <x:v>화로 엠버가 아인의 아래 얼굴만 비추고 눈은 어둡게.</x:v>
      </x:c>
      <x:c r="M32" s="159" t="str">
        <x:v>아인이 아무 말도 하지 않는 시간이 이어진다.</x:v>
      </x:c>
      <x:c r="N32" s="159" t="str">
        <x:v>등록과 큰 의뢰를 향한 결정이 설명 없이 이 빈 시간 안에서 굳었다고 읽힌다.</x:v>
      </x:c>
      <x:c r="O32" s="159" t="str">
        <x:v>황혼의 선택은 종종 말이 생기기 전에 침묵 속에서 완성된다.</x:v>
      </x:c>
      <x:c r="P32" s="159" t="str">
        <x:v>컷신에서 선택 메뉴를 띄우지 않고 다음 행동으로 결정을 증명하는 구조.</x:v>
      </x:c>
      <x:c r="Q32" s="159" t="str">
        <x:v>대사·독백·눈물 금지. 빈 공간을 소품으로 채우지 않는다.</x:v>
      </x:c>
      <x:c r="R32" s="159" t="str">
        <x:v>정적을 충분히 주되 장면을 멜로드라마로 만들지 않는다.</x:v>
      </x:c>
      <x:c r="S32" s="198" t="str">
        <x:v>LOCKED_v1</x:v>
      </x:c>
    </x:row>
    <x:row r="33" ht="88" customHeight="1">
      <x:c r="A33" s="193" t="str">
        <x:v>069</x:v>
      </x:c>
      <x:c r="B33" s="193" t="str">
        <x:v>I. 장인의 손</x:v>
      </x:c>
      <x:c r="C33" s="193" t="str">
        <x:v>무기만 말하는 진단</x:v>
      </x:c>
      <x:c r="D33" s="193" t="str">
        <x:v>70%</x:v>
      </x:c>
      <x:c r="E33" s="190" t="n">
        <x:v>430</x:v>
      </x:c>
      <x:c r="F33" s="190" t="n">
        <x:v>20</x:v>
      </x:c>
      <x:c r="G33" s="190" t="n">
        <x:v>70</x:v>
      </x:c>
      <x:c r="H33" s="159" t="str">
        <x:v>MS, 장인이 낫을 돌려주는 측면</x:v>
      </x:c>
      <x:c r="I33" s="159" t="str">
        <x:v>장인은 아인의 눈이 아니라 낫자루와 손만 보며 돌려준다. 두 손으로 건네 무기의 실제 무게와 자신의 현재 상태를 동시에 보인다.</x:v>
      </x:c>
      <x:c r="J33" s="159" t="str">
        <x:v>장인의 짧은 대사는 화면 하단이 아니라 두 사람 손 위의 빈 공간에 작게.</x:v>
      </x:c>
      <x:c r="K33" s="159" t="str">
        <x:v>무기 전달 ‘툭’.</x:v>
      </x:c>
      <x:c r="L33" s="159" t="str">
        <x:v>엠버 하부광. 얼굴은 반쯤 어둠.</x:v>
      </x:c>
      <x:c r="M33" s="159" t="str">
        <x:v>장인이 낫의 날은 괜찮다고 말한다.</x:v>
      </x:c>
      <x:c r="N33" s="159" t="str">
        <x:v>자기 손과 미지급 값은 말하지 않고 오직 일의 결과만 보고하는 사람으로 읽힌다.</x:v>
      </x:c>
      <x:c r="O33" s="159" t="str">
        <x:v>사람은 때때로 자신을 설명하는 대신 아직 해낼 수 있는 일을 말한다.</x:v>
      </x:c>
      <x:c r="P33" s="159" t="str">
        <x:v>정비 결과를 숫자 게이지가 아니라 장인의 한 문장과 무기 상태로 전달.</x:v>
      </x:c>
      <x:c r="Q33" s="159" t="str">
        <x:v>눈을 마주치지 않는다. 반드시 두 손으로 돌려준다. 대사를 늘리지 않는다.</x:v>
      </x:c>
      <x:c r="R33" s="159" t="str">
        <x:v>전문가의 진단은 짧고 정확하게, 감정은 물건 교환에 남긴다.</x:v>
      </x:c>
      <x:c r="S33" s="198" t="str">
        <x:v>LOCKED_v1</x:v>
      </x:c>
    </x:row>
    <x:row r="34" ht="88" customHeight="1">
      <x:c r="A34" s="193" t="str">
        <x:v>070</x:v>
      </x:c>
      <x:c r="B34" s="193" t="str">
        <x:v>I. 장인의 손</x:v>
      </x:c>
      <x:c r="C34" s="193" t="str">
        <x:v>물건으로 끝나는 대화</x:v>
      </x:c>
      <x:c r="D34" s="193" t="str">
        <x:v>62%</x:v>
      </x:c>
      <x:c r="E34" s="190" t="n">
        <x:v>400</x:v>
      </x:c>
      <x:c r="F34" s="190" t="n">
        <x:v>15</x:v>
      </x:c>
      <x:c r="G34" s="190" t="n">
        <x:v>110</x:v>
      </x:c>
      <x:c r="H34" s="159" t="str">
        <x:v>CU, 낫을 받는 아인과 작은 고개 끄덕임</x:v>
      </x:c>
      <x:c r="I34" s="159" t="str">
        <x:v>아인이 양손 또는 주사용 손으로 낫을 받아 몸 쪽으로 당기고 고개만 아주 작게 숙인다. 장인의 얼굴은 넣지 않아도 된다.</x:v>
      </x:c>
      <x:c r="J34" s="159" t="str">
        <x:v>텍스트 없음.</x:v>
      </x:c>
      <x:c r="K34" s="159" t="str">
        <x:v>자루가 장갑에 닿는 마찰음.</x:v>
      </x:c>
      <x:c r="L34" s="159" t="str">
        <x:v>엠버가 낫 표면을 짧게 지나가고 사라진다.</x:v>
      </x:c>
      <x:c r="M34" s="159" t="str">
        <x:v>둘의 대화가 인사 없이 끝난다.</x:v>
      </x:c>
      <x:c r="N34" s="159" t="str">
        <x:v>손떨림을 본 아인과 그것을 말하지 않은 장인이 서로 알고도 넘긴 순간으로 보인다.</x:v>
      </x:c>
      <x:c r="O34" s="159" t="str">
        <x:v>황혼의 관계는 설명보다 주고받은 물건과 남긴 침묵에 축적된다.</x:v>
      </x:c>
      <x:c r="P34" s="159" t="str">
        <x:v>제작 완료 애니메이션과 관계 서사가 같은 동작을 공유.</x:v>
      </x:c>
      <x:c r="Q34" s="159" t="str">
        <x:v>고개만 까딱. 포옹·미소·감사 대사 추가 금지. 무기 좌우 방향 연속성 유지.</x:v>
      </x:c>
      <x:c r="R34" s="159" t="str">
        <x:v>감정은 간결하게, 서비스 장면의 기능성도 잃지 않는다.</x:v>
      </x:c>
      <x:c r="S34" s="198" t="str">
        <x:v>LOCKED_v1</x:v>
      </x:c>
    </x:row>
    <x:row r="35" ht="88" customHeight="1">
      <x:c r="A35" s="194" t="str">
        <x:v>071</x:v>
      </x:c>
      <x:c r="B35" s="194" t="str">
        <x:v>J. 날짜 없는 빚</x:v>
      </x:c>
      <x:c r="C35" s="194" t="str">
        <x:v>낫에 쌓인 넉 달</x:v>
      </x:c>
      <x:c r="D35" s="194" t="str">
        <x:v>74% 4단</x:v>
      </x:c>
      <x:c r="E35" s="190" t="n">
        <x:v>1100</x:v>
      </x:c>
      <x:c r="F35" s="190" t="n">
        <x:v>60</x:v>
      </x:c>
      <x:c r="G35" s="190" t="n">
        <x:v>180</x:v>
      </x:c>
      <x:c r="H35" s="159" t="str">
        <x:v>세피아 세로 4단 몽타주, 등→손→불꽃→날</x:v>
      </x:c>
      <x:c r="I35" s="159" t="str">
        <x:v>① 강관을 메고 오는 굽은 등 ② 이중 자루를 짜는 손 ③ 칼날을 붙이는 불꽃 ④ 벼려지는 끝자락. 네 패널을 재료가 완성되는 순서로 정확히 잇는다.</x:v>
      </x:c>
      <x:c r="J35" s="159" t="str">
        <x:v>나레이션 ‘넉 달이 걸렸다.’는 첫 패널 상단이 아니라 네 패널이 끝난 뒤 하단에 한 번만 둔다.</x:v>
      </x:c>
      <x:c r="K35" s="159" t="str">
        <x:v>짐 내려놓는 둔탁함→금속 조임→짧은 용접음→숫돌 마찰이 아래로 이어진다.</x:v>
      </x:c>
      <x:c r="L35" s="159" t="str">
        <x:v>채도를 낮춘 갈색·회색 세피아. 향수 어린 황금빛 금지. 불꽃도 탁한 엠버.</x:v>
      </x:c>
      <x:c r="M35" s="159" t="str">
        <x:v>아인의 낫 하나를 만드는 데 넉 달이 들었다는 사실을 체감한다.</x:v>
      </x:c>
      <x:c r="N35" s="159" t="str">
        <x:v>이 무기가 드랍 아이템이 아니라 장인의 몸·시간·희귀 재료가 축적된 관계임을 읽는다.</x:v>
      </x:c>
      <x:c r="O35" s="159" t="str">
        <x:v>황혼의 장비는 소유물이 아니라 누군가의 삶을 빌려 쓰는 형태다.</x:v>
      </x:c>
      <x:c r="P35" s="159" t="str">
        <x:v>고유 무기 제작 이력과 업그레이드 계보. 플레이어가 같은 무기를 쉽게 교체하지 못하는 정서적 근거.</x:v>
      </x:c>
      <x:c r="Q35" s="159" t="str">
        <x:v>네 단계 순서 고정. 현재 낫 디자인과 소재 일치. 세피아를 행복한 회상처럼 연출하지 않는다.</x:v>
      </x:c>
      <x:c r="R35" s="159" t="str">
        <x:v>제작 몽타주는 속도감보다 노동의 반복과 재료 무게를 남긴다.</x:v>
      </x:c>
      <x:c r="S35" s="198" t="str">
        <x:v>LOCKED_v1</x:v>
      </x:c>
    </x:row>
    <x:row r="36" ht="88" customHeight="1">
      <x:c r="A36" s="194" t="str">
        <x:v>072</x:v>
      </x:c>
      <x:c r="B36" s="194" t="str">
        <x:v>J. 날짜 없는 빚</x:v>
      </x:c>
      <x:c r="C36" s="194" t="str">
        <x:v>2년째 남은 값</x:v>
      </x:c>
      <x:c r="D36" s="194" t="str">
        <x:v>70%</x:v>
      </x:c>
      <x:c r="E36" s="190" t="n">
        <x:v>400</x:v>
      </x:c>
      <x:c r="F36" s="190" t="n">
        <x:v>0</x:v>
      </x:c>
      <x:c r="G36" s="190" t="n">
        <x:v>80</x:v>
      </x:c>
      <x:c r="H36" s="159" t="str">
        <x:v>MS, 현재 화로 앞 동일 구도</x:v>
      </x:c>
      <x:c r="I36" s="159" t="str">
        <x:v>071 마지막 칼날의 형태가 현재 아인의 낫으로 매치 컷되게 한다. 색이 돌아오면서 장인은 다시 등을 보인다.</x:v>
      </x:c>
      <x:c r="J36" s="159" t="str">
        <x:v>나레이션은 상단 한 박스. ‘2년째다.’는 줄을 바꿔도 과장된 굵기 금지.</x:v>
      </x:c>
      <x:c r="K36" s="159" t="str">
        <x:v>현재의 화로 소리가 다시 선명해진다.</x:v>
      </x:c>
      <x:c r="L36" s="159" t="str">
        <x:v>세피아→현재 엠버·냉백. 색 복귀는 한 번에.</x:v>
      </x:c>
      <x:c r="M36" s="159" t="str">
        <x:v>낫값을 아직 다 갚지 못했다는 사실을 안다.</x:v>
      </x:c>
      <x:c r="N36" s="159" t="str">
        <x:v>아인이 큰 의뢰와 등급을 받아들이는 이유가 명예가 아니라 이 미지급 시간이라는 사실이 이어진다.</x:v>
      </x:c>
      <x:c r="O36" s="159" t="str">
        <x:v>경제적 책임은 괴물보다 조용하지만 삶의 방향을 더 오래 바꿀 수 있다.</x:v>
      </x:c>
      <x:c r="P36" s="159" t="str">
        <x:v>고유 무기에 비용·의뢰 동기가 붙지만 단순 숫자 빚 UI로 축소하지 않는다.</x:v>
      </x:c>
      <x:c r="Q36" s="159" t="str">
        <x:v>2년이라는 문구 유지. 추가 금액·정확한 잔액 임의 설정 금지.</x:v>
      </x:c>
      <x:c r="R36" s="159" t="str">
        <x:v>감정 동기는 짧은 사실 두 줄로만 고정한다.</x:v>
      </x:c>
      <x:c r="S36" s="198" t="str">
        <x:v>LOCKED_v1</x:v>
      </x:c>
    </x:row>
    <x:row r="37" ht="88" customHeight="1">
      <x:c r="A37" s="194" t="str">
        <x:v>073</x:v>
      </x:c>
      <x:c r="B37" s="194" t="str">
        <x:v>J. 날짜 없는 빚</x:v>
      </x:c>
      <x:c r="C37" s="194" t="str">
        <x:v>갚으려 꺼낸 것</x:v>
      </x:c>
      <x:c r="D37" s="194" t="str">
        <x:v>56%</x:v>
      </x:c>
      <x:c r="E37" s="190" t="n">
        <x:v>360</x:v>
      </x:c>
      <x:c r="F37" s="190" t="n">
        <x:v>20</x:v>
      </x:c>
      <x:c r="G37" s="190" t="n">
        <x:v>10</x:v>
      </x:c>
      <x:c r="H37" s="159" t="str">
        <x:v>CU 부감, 주머니와 작업대 가장자리</x:v>
      </x:c>
      <x:c r="I37" s="159" t="str">
        <x:v>아인의 손이 주머니 안에서 나노 칩 하나 또는 소량을 꺼내 작업대 위로 가져온다. 손의 속도를 느리게 둔다.</x:v>
      </x:c>
      <x:c r="J37" s="159" t="str">
        <x:v>텍스트 없음.</x:v>
      </x:c>
      <x:c r="K37" s="159" t="str">
        <x:v>칩이 다른 칩과 부딪히는 작은 ‘달칵’.</x:v>
      </x:c>
      <x:c r="L37" s="159" t="str">
        <x:v>작업대는 그을린 갈색, 칩은 발광하지 않는 금속성. 엠버 반사만.</x:v>
      </x:c>
      <x:c r="M37" s="159" t="str">
        <x:v>아인이 가진 칩으로 값을 치르려 한다.</x:v>
      </x:c>
      <x:c r="N37" s="159" t="str">
        <x:v>그녀가 단순히 미뤄온 것이 아니라 계속 조금씩 갚으려 했다는 생활이 보인다.</x:v>
      </x:c>
      <x:c r="O37" s="159" t="str">
        <x:v>책임은 큰 선언보다 가진 것을 조용히 꺼내는 동작에서 시작된다.</x:v>
      </x:c>
      <x:c r="P37" s="159" t="str">
        <x:v>재화를 화면 숫자가 아니라 실제 물건으로 취급하는 거래 연출.</x:v>
      </x:c>
      <x:c r="Q37" s="159" t="str">
        <x:v>칩에 게임 아이콘·등급색·강한 발광 금지. 오른손 건틀릿 연속성 확인.</x:v>
      </x:c>
      <x:c r="R37" s="159" t="str">
        <x:v>작은 소품을 감정의 중심으로 올리되 반짝이는 보물처럼 만들지 않는다.</x:v>
      </x:c>
      <x:c r="S37" s="198" t="str">
        <x:v>LOCKED_v1</x:v>
      </x:c>
    </x:row>
    <x:row r="38" ht="88" customHeight="1">
      <x:c r="A38" s="194" t="str">
        <x:v>074</x:v>
      </x:c>
      <x:c r="B38" s="194" t="str">
        <x:v>J. 날짜 없는 빚</x:v>
      </x:c>
      <x:c r="C38" s="194" t="str">
        <x:v>첫 번째 제안</x:v>
      </x:c>
      <x:c r="D38" s="194" t="str">
        <x:v>54%</x:v>
      </x:c>
      <x:c r="E38" s="190" t="n">
        <x:v>340</x:v>
      </x:c>
      <x:c r="F38" s="190" t="n">
        <x:v>5</x:v>
      </x:c>
      <x:c r="G38" s="190" t="n">
        <x:v>5</x:v>
      </x:c>
      <x:c r="H38" s="159" t="str">
        <x:v>탑다운 인서트, 젊은 손이 칩을 미는 구도</x:v>
      </x:c>
      <x:c r="I38" s="159" t="str">
        <x:v>아인의 손이 화면 아래 또는 오른쪽에서 중앙으로 칩을 민다. 이동 거리는 짧고 손은 곧바로 물러나지 않는다.</x:v>
      </x:c>
      <x:c r="J38" s="159" t="str">
        <x:v>텍스트 없음.</x:v>
      </x:c>
      <x:c r="K38" s="159" t="str">
        <x:v>작업대 위 ‘달칵.’</x:v>
      </x:c>
      <x:c r="L38" s="159" t="str">
        <x:v>엠버 하부 반사. 칩 자체 발광 없음.</x:v>
      </x:c>
      <x:c r="M38" s="159" t="str">
        <x:v>아인이 대금을 내민다.</x:v>
      </x:c>
      <x:c r="N38" s="159" t="str">
        <x:v>칩을 중앙에 두어 관계를 거래로 정리하려는 의지가 보인다.</x:v>
      </x:c>
      <x:c r="O38" s="159" t="str">
        <x:v>측정 가능한 금액을 만드는 것은 끝나지 않는 책임에 날짜를 붙이려는 시도다.</x:v>
      </x:c>
      <x:c r="P38" s="159" t="str">
        <x:v>다이에제틱 거래 시작 동작. 상점 UI보다 손의 왕복을 먼저 보여준다.</x:v>
      </x:c>
      <x:c r="Q38" s="159" t="str">
        <x:v>073~078 칩 위치·방향·손 좌우 연속성 고정.</x:v>
      </x:c>
      <x:c r="R38" s="159" t="str">
        <x:v>반복 동작의 첫 박자는 아주 담담하게.</x:v>
      </x:c>
      <x:c r="S38" s="198" t="str">
        <x:v>LOCKED_v1</x:v>
      </x:c>
    </x:row>
    <x:row r="39" ht="88" customHeight="1">
      <x:c r="A39" s="194" t="str">
        <x:v>075</x:v>
      </x:c>
      <x:c r="B39" s="194" t="str">
        <x:v>J. 날짜 없는 빚</x:v>
      </x:c>
      <x:c r="C39" s="194" t="str">
        <x:v>첫 번째 반환</x:v>
      </x:c>
      <x:c r="D39" s="194" t="str">
        <x:v>54%</x:v>
      </x:c>
      <x:c r="E39" s="190" t="n">
        <x:v>340</x:v>
      </x:c>
      <x:c r="F39" s="190" t="n">
        <x:v>5</x:v>
      </x:c>
      <x:c r="G39" s="190" t="n">
        <x:v>5</x:v>
      </x:c>
      <x:c r="H39" s="159" t="str">
        <x:v>탑다운 인서트, 늙은 손이 칩을 되미는 구도</x:v>
      </x:c>
      <x:c r="I39" s="159" t="str">
        <x:v>장인의 굵고 화상 입은 손이 반대편에서 칩을 원래 방향으로 밀어 보낸다. 손가락은 칩 위에 오래 머물지 않는다.</x:v>
      </x:c>
      <x:c r="J39" s="159" t="str">
        <x:v>텍스트 없음.</x:v>
      </x:c>
      <x:c r="K39" s="159" t="str">
        <x:v>같은 크기의 ‘달칵.’</x:v>
      </x:c>
      <x:c r="L39" s="159" t="str">
        <x:v>같은 작업대·같은 엠버. 색 변화 없음.</x:v>
      </x:c>
      <x:c r="M39" s="159" t="str">
        <x:v>장인이 돈을 받지 않는다.</x:v>
      </x:c>
      <x:c r="N39" s="159" t="str">
        <x:v>그의 거절이 아인에게 명확한 종료일을 주지 않는다는 문제가 보인다.</x:v>
      </x:c>
      <x:c r="O39" s="159" t="str">
        <x:v>호의는 가벼움을 주기도 하지만 어떤 사람에게는 더 무거운 책임이 될 수 있다.</x:v>
      </x:c>
      <x:c r="P39" s="159" t="str">
        <x:v>거래 거절이 오류 팝업이 아니라 NPC 행동과 관계 상태로 표현된다.</x:v>
      </x:c>
      <x:c r="Q39" s="159" t="str">
        <x:v>거절 이유를 표정·회상·대사로 설명하지 않는다. 칩은 정확히 되돌아온다.</x:v>
      </x:c>
      <x:c r="R39" s="159" t="str">
        <x:v>첫 동작과 같은 크기·속도로 반복해 말 없는 대화를 만든다.</x:v>
      </x:c>
      <x:c r="S39" s="198" t="str">
        <x:v>LOCKED_v1</x:v>
      </x:c>
    </x:row>
    <x:row r="40" ht="88" customHeight="1">
      <x:c r="A40" s="194" t="str">
        <x:v>076</x:v>
      </x:c>
      <x:c r="B40" s="194" t="str">
        <x:v>J. 날짜 없는 빚</x:v>
      </x:c>
      <x:c r="C40" s="194" t="str">
        <x:v>두 번째 제안</x:v>
      </x:c>
      <x:c r="D40" s="194" t="str">
        <x:v>54%</x:v>
      </x:c>
      <x:c r="E40" s="190" t="n">
        <x:v>340</x:v>
      </x:c>
      <x:c r="F40" s="190" t="n">
        <x:v>5</x:v>
      </x:c>
      <x:c r="G40" s="190" t="n">
        <x:v>5</x:v>
      </x:c>
      <x:c r="H40" s="159" t="str">
        <x:v>탑다운 인서트, 아인의 손이 다시 미는 동일 구도</x:v>
      </x:c>
      <x:c r="I40" s="159" t="str">
        <x:v>카메라와 칩의 경로를 074와 완전히 같게 유지한다. 다른 점은 손가락이 조금 더 오래 칩에 닿아 있다는 것뿐.</x:v>
      </x:c>
      <x:c r="J40" s="159" t="str">
        <x:v>텍스트 없음.</x:v>
      </x:c>
      <x:c r="K40" s="159" t="str">
        <x:v>‘달칵.’ 반복.</x:v>
      </x:c>
      <x:c r="L40" s="159" t="str">
        <x:v>광원 변화 없음.</x:v>
      </x:c>
      <x:c r="M40" s="159" t="str">
        <x:v>아인이 다시 받으라고 고집한다.</x:v>
      </x:c>
      <x:c r="N40" s="159" t="str">
        <x:v>돈보다 ‘끝낼 수 있는 약속’을 얻으려는 의지가 첫 번째보다 선명해진다.</x:v>
      </x:c>
      <x:c r="O40" s="159" t="str">
        <x:v>책임감은 때때로 도움을 받는 능력보다 갚을 방법을 확보하려는 강박으로 나타난다.</x:v>
      </x:c>
      <x:c r="P40" s="159" t="str">
        <x:v>반복 상호작용이 관계의 의미를 바꾸는 연출. 선택지 문구 없이 지속 의지를 보인다.</x:v>
      </x:c>
      <x:c r="Q40" s="159" t="str">
        <x:v>074와 프레이밍 동일. 과한 손 힘줄·분노 표현 금지.</x:v>
      </x:c>
      <x:c r="R40" s="159" t="str">
        <x:v>미세한 차이만으로 두 번째 박자의 감정을 올린다.</x:v>
      </x:c>
      <x:c r="S40" s="198" t="str">
        <x:v>LOCKED_v1</x:v>
      </x:c>
    </x:row>
    <x:row r="41" ht="88" customHeight="1">
      <x:c r="A41" s="194" t="str">
        <x:v>077</x:v>
      </x:c>
      <x:c r="B41" s="194" t="str">
        <x:v>J. 날짜 없는 빚</x:v>
      </x:c>
      <x:c r="C41" s="194" t="str">
        <x:v>두 번째 반환</x:v>
      </x:c>
      <x:c r="D41" s="194" t="str">
        <x:v>54%</x:v>
      </x:c>
      <x:c r="E41" s="190" t="n">
        <x:v>340</x:v>
      </x:c>
      <x:c r="F41" s="190" t="n">
        <x:v>5</x:v>
      </x:c>
      <x:c r="G41" s="190" t="n">
        <x:v>60</x:v>
      </x:c>
      <x:c r="H41" s="159" t="str">
        <x:v>탑다운 인서트, 장인의 손과 돌아오는 칩</x:v>
      </x:c>
      <x:c r="I41" s="159" t="str">
        <x:v>075와 같은 방향으로 칩이 돌아오고 이번에는 장인의 손이 먼저 프레임 밖으로 빠진다. 칩만 중앙 가까이에 남는다.</x:v>
      </x:c>
      <x:c r="J41" s="159" t="str">
        <x:v>텍스트 없음.</x:v>
      </x:c>
      <x:c r="K41" s="159" t="str">
        <x:v>‘달칵.’ 뒤 화로 소리만 남는다.</x:v>
      </x:c>
      <x:c r="L41" s="159" t="str">
        <x:v>같은 엠버. 칩의 작은 그림자가 길어진다.</x:v>
      </x:c>
      <x:c r="M41" s="159" t="str">
        <x:v>장인은 다시 받지 않는다.</x:v>
      </x:c>
      <x:c r="N41" s="159" t="str">
        <x:v>거절이 친절의 반복이 아니라 둘 사이에 해결되지 않는 시간을 고정하는 행위가 된다.</x:v>
      </x:c>
      <x:c r="O41" s="159" t="str">
        <x:v>선의가 있다고 해서 관계의 부담이 사라지는 것은 아니다.</x:v>
      </x:c>
      <x:c r="P41" s="159" t="str">
        <x:v>스토리 상태로 잠긴 거래. 재시도해도 같은 결과가 나오는 이유를 감정으로 납득시킨다.</x:v>
      </x:c>
      <x:c r="Q41" s="159" t="str">
        <x:v>075와 동일 행동. 짜증·미소·고개 젓기 추가 금지.</x:v>
      </x:c>
      <x:c r="R41" s="159" t="str">
        <x:v>반복의 마지막에 여백을 늘려 의미를 남긴다.</x:v>
      </x:c>
      <x:c r="S41" s="198" t="str">
        <x:v>LOCKED_v1</x:v>
      </x:c>
    </x:row>
    <x:row r="42" ht="88" customHeight="1">
      <x:c r="A42" s="194" t="str">
        <x:v>078</x:v>
      </x:c>
      <x:c r="B42" s="194" t="str">
        <x:v>J. 날짜 없는 빚</x:v>
      </x:c>
      <x:c r="C42" s="194" t="str">
        <x:v>칩이 잇지 못한 거리</x:v>
      </x:c>
      <x:c r="D42" s="194" t="str">
        <x:v>72%</x:v>
      </x:c>
      <x:c r="E42" s="190" t="n">
        <x:v>430</x:v>
      </x:c>
      <x:c r="F42" s="190" t="n">
        <x:v>35</x:v>
      </x:c>
      <x:c r="G42" s="190" t="n">
        <x:v>150</x:v>
      </x:c>
      <x:c r="H42" s="159" t="str">
        <x:v>MS 탑다운, 작업대 전체와 양끝의 두 손</x:v>
      </x:c>
      <x:c r="I42" s="159" t="str">
        <x:v>칩 하나를 정확히 중앙에 두고 아인의 손과 장인의 손은 프레임 양끝에서 서로 닿지 않는다. 작업대의 긁힌 선이 둘 사이를 가로지른다.</x:v>
      </x:c>
      <x:c r="J42" s="159" t="str">
        <x:v>텍스트 없음.</x:v>
      </x:c>
      <x:c r="K42" s="159" t="str">
        <x:v>무음. 화로도 아주 낮게.</x:v>
      </x:c>
      <x:c r="L42" s="159" t="str">
        <x:v>중앙 칩에만 엠버 반사가 있지만 빛나지는 않는다. 손은 절반쯤 어둠.</x:v>
      </x:c>
      <x:c r="M42" s="159" t="str">
        <x:v>말 없는 실랑이가 멈춘 상태를 본다.</x:v>
      </x:c>
      <x:c r="N42" s="159" t="str">
        <x:v>돈은 두 사람 사이의 물리적 거리를 줄이지도, 관계를 끝내지도 못했다는 구도로 읽힌다.</x:v>
      </x:c>
      <x:c r="O42" s="159" t="str">
        <x:v>황혼의 사물은 설명 없이 사람 사이에 놓인 문장이 될 수 있다.</x:v>
      </x:c>
      <x:c r="P42" s="159" t="str">
        <x:v>중요 아이템을 중앙에 두되 획득 강조가 아니라 관계 장면으로 사용하는 컷신 문법.</x:v>
      </x:c>
      <x:c r="Q42" s="159" t="str">
        <x:v>두 손이 닿지 않는다. 칩 한 개 중심. 대사·표정 인서트 금지.</x:v>
      </x:c>
      <x:c r="R42" s="159" t="str">
        <x:v>정적인 대칭 구도로 감정 압력을 만든다.</x:v>
      </x:c>
      <x:c r="S42" s="198" t="str">
        <x:v>LOCKED_v1</x:v>
      </x:c>
    </x:row>
    <x:row r="43" ht="88" customHeight="1">
      <x:c r="A43" s="194" t="str">
        <x:v>079</x:v>
      </x:c>
      <x:c r="B43" s="194" t="str">
        <x:v>J. 날짜 없는 빚</x:v>
      </x:c>
      <x:c r="C43" s="194" t="str">
        <x:v>날짜 없는 빚</x:v>
      </x:c>
      <x:c r="D43" s="194" t="str">
        <x:v>68%</x:v>
      </x:c>
      <x:c r="E43" s="190" t="n">
        <x:v>430</x:v>
      </x:c>
      <x:c r="F43" s="190" t="n">
        <x:v>20</x:v>
      </x:c>
      <x:c r="G43" s="190" t="n">
        <x:v>160</x:v>
      </x:c>
      <x:c r="H43" s="159" t="str">
        <x:v>MS 근접, 칩을 다시 주머니에 넣는 손</x:v>
      </x:c>
      <x:c r="I43" s="159" t="str">
        <x:v>아인의 손이 칩을 집어 같은 주머니로 되돌린다. 손은 잠깐 멈추지 않고 곧바로 낫자루 쪽으로 내려간다.</x:v>
      </x:c>
      <x:c r="J43" s="159" t="str">
        <x:v>나레이션 두 문장은 상단에서 같은 폭으로 배치한다. ‘날짜’ 단어를 색이나 굵기로 강조하지 않는다.</x:v>
      </x:c>
      <x:c r="K43" s="159" t="str">
        <x:v>칩이 주머니 안에서 한 번 부딪히는 소리.</x:v>
      </x:c>
      <x:c r="L43" s="159" t="str">
        <x:v>엠버 아래 손만 밝고 배경은 어둡다.</x:v>
      </x:c>
      <x:c r="M43" s="159" t="str">
        <x:v>재촉하지 않는 빚을 다시 미루게 된다는 사실을 이해한다.</x:v>
      </x:c>
      <x:c r="N43" s="159" t="str">
        <x:v>이 끝없는 미룸이 아인을 평가소와 큰 의뢰로 몰아간 직접 동기였음을 읽는다.</x:v>
      </x:c>
      <x:c r="O43" s="159" t="str">
        <x:v>기한 없는 책임은 사라지지 않고 사람의 선택 구조가 된다.</x:v>
      </x:c>
      <x:c r="P43" s="159" t="str">
        <x:v>숫자형 퀘스트 부채가 아니라 후속 행동과 경로를 여는 관계 플래그.</x:v>
      </x:c>
      <x:c r="Q43" s="159" t="str">
        <x:v>칩을 버리거나 작업대에 남기지 않는다. 감정 대사·한숨 추가 금지.</x:v>
      </x:c>
      <x:c r="R43" s="159" t="str">
        <x:v>설명 문장은 길지만 손의 한 동작에 묶어 리듬을 유지한다.</x:v>
      </x:c>
      <x:c r="S43" s="198" t="str">
        <x:v>LOCKED_v1</x:v>
      </x:c>
    </x:row>
    <x:row r="44" ht="88" customHeight="1">
      <x:c r="A44" s="194" t="str">
        <x:v>080</x:v>
      </x:c>
      <x:c r="B44" s="194" t="str">
        <x:v>J. 날짜 없는 빚</x:v>
      </x:c>
      <x:c r="C44" s="194" t="str">
        <x:v>안전에서 나가는 문턱</x:v>
      </x:c>
      <x:c r="D44" s="194" t="str">
        <x:v>86%</x:v>
      </x:c>
      <x:c r="E44" s="190" t="n">
        <x:v>470</x:v>
      </x:c>
      <x:c r="F44" s="190" t="n">
        <x:v>60</x:v>
      </x:c>
      <x:c r="G44" s="190" t="n">
        <x:v>260</x:v>
      </x:c>
      <x:c r="H44" s="159" t="str">
        <x:v>LOW, 통로 끝의 ‘각인 평가소’ 간판과 냉백 문</x:v>
      </x:c>
      <x:c r="I44" s="159" t="str">
        <x:v>화로의 어두운 전경 아래에서 차가운 평가소 입구를 올려다본다. 간판은 낡고 글자는 정확히 읽히며 문 너머는 인물 없는 냉백 공간.</x:v>
      </x:c>
      <x:c r="J44" s="159" t="str">
        <x:v>나레이션은 간판 아래 어둠에 한 줄. 문장 뒤 긴 하단 여백을 두고 다음 장면의 냉백으로 연결.</x:v>
      </x:c>
      <x:c r="K44" s="159" t="str">
        <x:v>화로 소리가 멀어지고 형광등의 낮은 ‘지—’가 대신 들어온다.</x:v>
      </x:c>
      <x:c r="L44" s="159" t="str">
        <x:v>전경 엠버→후경 냉백의 명확한 온도 대비. 게임 UI·네온 간판 금지.</x:v>
      </x:c>
      <x:c r="M44" s="159" t="str">
        <x:v>아인이 빚을 갚기 위해 등급 평가를 받으러 간다는 전환을 안다.</x:v>
      </x:c>
      <x:c r="N44" s="159" t="str">
        <x:v>등록이 성장의 축하가 아니라 2년간 유지한 저등급 안전을 스스로 포기하는 문턱으로 읽힌다.</x:v>
      </x:c>
      <x:c r="O44" s="159" t="str">
        <x:v>황혼에서 성장의 문은 보상 화면이 아니라 수거 대상이 되는 방향으로 열린다.</x:v>
      </x:c>
      <x:c r="P44" s="159" t="str">
        <x:v>랭크 시스템·정식 의뢰·상위 콘텐츠를 여는 허브 시설의 첫 진입. 위험과 기능을 동시에 예고.</x:v>
      </x:c>
      <x:c r="Q44" s="159" t="str">
        <x:v>⭐ 간판 한글 정확. 냉백 광원. 아인·카인 실루엣을 영웅적으로 세우지 않는다. UI 금지.</x:v>
      </x:c>
      <x:c r="R44" s="159" t="str">
        <x:v>클리프 전환은 큰 효과보다 색온도와 문턱의 의미로 만든다.</x:v>
      </x:c>
      <x:c r="S44" s="198" t="str">
        <x:v>LOCKED_v1</x:v>
      </x:c>
    </x:row>
    <x:row r="45" ht="30" customHeight="1">
      <x:c r="A45" s="201" t="str">
        <x:v>TOTAL / ESTIMATED SCROLL</x:v>
      </x:c>
      <x:c r="B45" s="201"/>
      <x:c r="C45" s="201"/>
      <x:c r="D45" s="201"/>
      <x:c r="E45" s="202" t="n">
        <x:v>17680</x:v>
      </x:c>
      <x:c r="F45" s="202" t="n">
        <x:v>750</x:v>
      </x:c>
      <x:c r="G45" s="202" t="n">
        <x:v>3045</x:v>
      </x:c>
      <x:c r="H45" s="202" t="str">
        <x:v>예상 총 세로합</x:v>
      </x:c>
      <x:c r="I45" s="202" t="n">
        <x:v>21475</x:v>
      </x:c>
      <x:c r="J45" s="201"/>
      <x:c r="K45" s="201"/>
      <x:c r="L45" s="201"/>
      <x:c r="M45" s="201"/>
      <x:c r="N45" s="201"/>
      <x:c r="O45" s="201"/>
      <x:c r="P45" s="201"/>
      <x:c r="Q45" s="201"/>
      <x:c r="R45" s="201"/>
      <x:c r="S45" s="201"/>
    </x:row>
  </x:sheetData>
  <x:mergeCells>
    <x:mergeCell ref="A1:S1"/>
    <x:mergeCell ref="A2:S2"/>
  </x:mergeCells>
  <x:dataValidations count="1">
    <x:dataValidation type="list" sqref="S5:S44">
      <x:formula1>"LOCKED_v1,REVIEW,DRAFT"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4" hidden="0" customWidth="1"/>
    <x:col min="4" max="4" width="14" hidden="0" customWidth="1"/>
    <x:col min="5" max="5" width="13" hidden="0" customWidth="1"/>
    <x:col min="6" max="6" width="13" hidden="0" customWidth="1"/>
    <x:col min="7" max="7" width="14" hidden="0" customWidth="1"/>
    <x:col min="8" max="8" width="24" hidden="0" customWidth="1"/>
    <x:col min="9" max="9" width="48" hidden="0" customWidth="1"/>
    <x:col min="10" max="10" width="42" hidden="0" customWidth="1"/>
    <x:col min="11" max="11" width="28" hidden="0" customWidth="1"/>
    <x:col min="12" max="12" width="30" hidden="0" customWidth="1"/>
    <x:col min="13" max="13" width="34" hidden="0" customWidth="1"/>
    <x:col min="14" max="14" width="36" hidden="0" customWidth="1"/>
    <x:col min="15" max="15" width="36" hidden="0" customWidth="1"/>
    <x:col min="16" max="16" width="38" hidden="0" customWidth="1"/>
    <x:col min="17" max="17" width="42" hidden="0" customWidth="1"/>
    <x:col min="18" max="18" width="34" hidden="0" customWidth="1"/>
    <x:col min="19" max="19" width="14" hidden="0" customWidth="1"/>
  </x:cols>
  <x:sheetData>
    <x:row r="1" ht="30" customHeight="1">
      <x:c r="A1" s="226" t="str">
        <x:v>EP01 CUT081–110 — 실제 연재 구현 v1.0</x:v>
      </x:c>
      <x:c r="B1" s="226"/>
      <x:c r="C1" s="226"/>
      <x:c r="D1" s="226"/>
      <x:c r="E1" s="226"/>
      <x:c r="F1" s="226"/>
      <x:c r="G1" s="226"/>
      <x:c r="H1" s="226"/>
      <x:c r="I1" s="226"/>
      <x:c r="J1" s="226"/>
      <x:c r="K1" s="226"/>
      <x:c r="L1" s="226"/>
      <x:c r="M1" s="226"/>
      <x:c r="N1" s="226"/>
      <x:c r="O1" s="226"/>
      <x:c r="P1" s="226"/>
      <x:c r="Q1" s="226"/>
      <x:c r="R1" s="226"/>
      <x:c r="S1" s="226"/>
    </x:row>
    <x:row r="2" ht="28" customHeight="1">
      <x:c r="A2" s="231" t="str">
        <x:v>각인 평가소 → 2년 무등록 → 등급의 가격 → 스캔 → C 구간 상단 → 두 개의 C. 원본 30컷 유지 / 원본 패널 높이 13,500px / 계획 여백 2,480px / 예상 세로합 15,980px.</x:v>
      </x:c>
      <x:c r="B2" s="231"/>
      <x:c r="C2" s="231"/>
      <x:c r="D2" s="231"/>
      <x:c r="E2" s="231"/>
      <x:c r="F2" s="231"/>
      <x:c r="G2" s="231"/>
      <x:c r="H2" s="231"/>
      <x:c r="I2" s="231"/>
      <x:c r="J2" s="231"/>
      <x:c r="K2" s="231"/>
      <x:c r="L2" s="231"/>
      <x:c r="M2" s="231"/>
      <x:c r="N2" s="231"/>
      <x:c r="O2" s="231"/>
      <x:c r="P2" s="231"/>
      <x:c r="Q2" s="231"/>
      <x:c r="R2" s="231"/>
      <x:c r="S2" s="231"/>
    </x:row>
    <x:row r="3" ht="8" customHeight="1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</x:row>
    <x:row r="4" ht="36" customHeight="1">
      <x:c r="A4" s="237" t="str">
        <x:v>CUT_ID</x:v>
      </x:c>
      <x:c r="B4" s="237" t="str">
        <x:v>BEAT</x:v>
      </x:c>
      <x:c r="C4" s="237" t="str">
        <x:v>PANEL_ROLE</x:v>
      </x:c>
      <x:c r="D4" s="237" t="str">
        <x:v>WIDTH_CLASS</x:v>
      </x:c>
      <x:c r="E4" s="237" t="str">
        <x:v>SOURCE_HEIGHT_PX</x:v>
      </x:c>
      <x:c r="F4" s="237" t="str">
        <x:v>TOP_GUTTER_PX</x:v>
      </x:c>
      <x:c r="G4" s="237" t="str">
        <x:v>BOTTOM_GUTTER_PX</x:v>
      </x:c>
      <x:c r="H4" s="237" t="str">
        <x:v>CAMERA</x:v>
      </x:c>
      <x:c r="I4" s="237" t="str">
        <x:v>ACTION_COMPOSITION</x:v>
      </x:c>
      <x:c r="J4" s="237" t="str">
        <x:v>TEXT_LAYOUT</x:v>
      </x:c>
      <x:c r="K4" s="237" t="str">
        <x:v>SFX_AUDIO</x:v>
      </x:c>
      <x:c r="L4" s="237" t="str">
        <x:v>COLOR_LIGHT</x:v>
      </x:c>
      <x:c r="M4" s="237" t="str">
        <x:v>FIRST_READ</x:v>
      </x:c>
      <x:c r="N4" s="237" t="str">
        <x:v>THIRD_READ</x:v>
      </x:c>
      <x:c r="O4" s="237" t="str">
        <x:v>FIFTH_READ</x:v>
      </x:c>
      <x:c r="P4" s="237" t="str">
        <x:v>GAME_ECHO</x:v>
      </x:c>
      <x:c r="Q4" s="237" t="str">
        <x:v>PRODUCTION_LOCK</x:v>
      </x:c>
      <x:c r="R4" s="237" t="str">
        <x:v>BENCHMARK_BALANCE</x:v>
      </x:c>
      <x:c r="S4" s="237" t="str">
        <x:v>STATUS</x:v>
      </x:c>
    </x:row>
    <x:row r="5" ht="88" customHeight="1">
      <x:c r="A5" s="209" t="str">
        <x:v>081</x:v>
      </x:c>
      <x:c r="B5" s="211" t="str">
        <x:v>K. 각인 평가소</x:v>
      </x:c>
      <x:c r="C5" s="211" t="str">
        <x:v>사람을 수치로 바꾸는 방</x:v>
      </x:c>
      <x:c r="D5" s="209" t="str">
        <x:v>86%</x:v>
      </x:c>
      <x:c r="E5" s="209" t="n">
        <x:v>430</x:v>
      </x:c>
      <x:c r="F5" s="209" t="n">
        <x:v>100</x:v>
      </x:c>
      <x:c r="G5" s="209" t="n">
        <x:v>50</x:v>
      </x:c>
      <x:c r="H5" s="209" t="str">
        <x:v>24mm WIDE, 출입문 쪽에서 방 전체를 보는 고정 숏</x:v>
      </x:c>
      <x:c r="I5" s="159" t="str">
        <x:v>측정 발판은 중앙, 유진의 콘솔은 오른쪽, 번호판 벽과 대기 의자는 왼쪽에 둔다. 사람보다 장치와 빈 자리가 먼저 읽히게 하고, 아인과 카인은 문턱 근처의 작은 실루엣으로만 넣는다.</x:v>
      </x:c>
      <x:c r="J5" s="159" t="str">
        <x:v>텍스트 없음. 컷 상단과 중앙을 비워 기관의 차가운 질서가 먼저 들어오게 한다.</x:v>
      </x:c>
      <x:c r="K5" s="159" t="str">
        <x:v>형광등의 낮은 ‘지—’와 멀리서 한 번 울리는 번호판 전환음.</x:v>
      </x:c>
      <x:c r="L5" s="159" t="str">
        <x:v>무채도 냉백. 방향성 그림자는 거의 없고 엠버는 아인의 목덜미에서만 아주 약하게 남는다.</x:v>
      </x:c>
      <x:c r="M5" s="159" t="str">
        <x:v>각인 등급을 매기는 공식 공간에 들어왔음을 이해한다.</x:v>
      </x:c>
      <x:c r="N5" s="159" t="str">
        <x:v>평가소가 힘을 인정하는 장소가 아니라 숙주의 상태를 기록하는 관문이었다고 다시 읽힌다.</x:v>
      </x:c>
      <x:c r="O5" s="159" t="str">
        <x:v>황혼에서 제도는 사람을 보호하기 전에 분류한다.</x:v>
      </x:c>
      <x:c r="P5" s="159" t="str">
        <x:v>랭크 메뉴를 별도 UI로 열기 전에 실제 허브 공간과 동선으로 먼저 학습시키는 장면.</x:v>
      </x:c>
      <x:c r="Q5" s="159" t="str">
        <x:v>도시형 미래 연구소처럼 번쩍이게 하지 않는다. 청록 네온·게임 HUD·스포트라이트 금지.</x:v>
      </x:c>
      <x:c r="R5" s="159" t="str">
        <x:v>공간은 선명하게 읽히되 화려함을 억제하고, 첫 진입의 긴장은 장치와 빈자리로 만든다.</x:v>
      </x:c>
      <x:c r="S5" s="217" t="str">
        <x:v>LOCKED_v1</x:v>
      </x:c>
    </x:row>
    <x:row r="6" ht="88" customHeight="1">
      <x:c r="A6" s="209" t="str">
        <x:v>082</x:v>
      </x:c>
      <x:c r="B6" s="211" t="str">
        <x:v>K. 각인 평가소</x:v>
      </x:c>
      <x:c r="C6" s="211" t="str">
        <x:v>유진의 첫 업무 동작</x:v>
      </x:c>
      <x:c r="D6" s="209" t="str">
        <x:v>68%</x:v>
      </x:c>
      <x:c r="E6" s="209" t="n">
        <x:v>430</x:v>
      </x:c>
      <x:c r="F6" s="209" t="n">
        <x:v>25</x:v>
      </x:c>
      <x:c r="G6" s="209" t="n">
        <x:v>25</x:v>
      </x:c>
      <x:c r="H6" s="209" t="str">
        <x:v>50mm MS, 콘솔 옆 측면</x:v>
      </x:c>
      <x:c r="I6" s="159" t="str">
        <x:v>유진은 등을 곧게 세운 채 손가락으로 태블릿을 넘긴다. 표정 없는 얼굴과 익숙한 손동작을 같은 프레임에 넣어, 차가움보다 반복된 업무의 피로를 먼저 보이게 한다.</x:v>
      </x:c>
      <x:c r="J6" s="159" t="str">
        <x:v>텍스트 없음. 인물 소개 자막을 붙이지 않는다.</x:v>
      </x:c>
      <x:c r="K6" s="159" t="str">
        <x:v>태블릿 표면을 넘기는 마른 마찰음 한 번.</x:v>
      </x:c>
      <x:c r="L6" s="159" t="str">
        <x:v>냉백 형광. 피부와 태블릿 모두 저채도이며 화면 자체는 얼굴을 푸르게 물들이지 않는다.</x:v>
      </x:c>
      <x:c r="M6" s="159" t="str">
        <x:v>평가소를 운영하는 유진을 처음 본다.</x:v>
      </x:c>
      <x:c r="N6" s="159" t="str">
        <x:v>그녀의 무표정이 무관심이 아니라 너무 많은 사람을 같은 절차로 보낸 사람의 업무 표정으로 읽힌다.</x:v>
      </x:c>
      <x:c r="O6" s="159" t="str">
        <x:v>황혼의 사람들은 감정을 숨기는 것이 아니라 해야 할 일을 먼저 한다.</x:v>
      </x:c>
      <x:c r="P6" s="159" t="str">
        <x:v>허브 평가 NPC의 기본 대기·상호작용 애니메이션 기준.</x:v>
      </x:c>
      <x:c r="Q6" s="159" t="str">
        <x:v>유진을 냉혈한 악역처럼 연출하지 않는다. 과한 눈 밑 그림자·비웃음 금지.</x:v>
      </x:c>
      <x:c r="R6" s="159" t="str">
        <x:v>표정은 절제하되 손동작의 정확성으로 캐릭터를 각인한다.</x:v>
      </x:c>
      <x:c r="S6" s="217" t="str">
        <x:v>LOCKED_v1</x:v>
      </x:c>
    </x:row>
    <x:row r="7" ht="88" customHeight="1">
      <x:c r="A7" s="209" t="str">
        <x:v>083</x:v>
      </x:c>
      <x:c r="B7" s="211" t="str">
        <x:v>K. 각인 평가소</x:v>
      </x:c>
      <x:c r="C7" s="211" t="str">
        <x:v>데이터가 멈춘 자리</x:v>
      </x:c>
      <x:c r="D7" s="209" t="str">
        <x:v>64%</x:v>
      </x:c>
      <x:c r="E7" s="209" t="n">
        <x:v>400</x:v>
      </x:c>
      <x:c r="F7" s="209" t="n">
        <x:v>15</x:v>
      </x:c>
      <x:c r="G7" s="209" t="n">
        <x:v>15</x:v>
      </x:c>
      <x:c r="H7" s="209" t="str">
        <x:v>65mm CU, 태블릿과 유진의 하관·눈을 함께</x:v>
      </x:c>
      <x:c r="I7" s="159" t="str">
        <x:v>여러 번 움직이던 손가락이 ‘무등록’ 항목에서 정확히 멈춘다. 고개는 들지 않고 눈만 한 줄 아래로 이동한다.</x:v>
      </x:c>
      <x:c r="J7" s="159" t="str">
        <x:v>말풍선은 태블릿 위 빈 공간에 작게. ‘…무등록이시네요.’만 넣고 추가 설명은 금지.</x:v>
      </x:c>
      <x:c r="K7" s="159" t="str">
        <x:v>손가락이 멈추는 순간 주변 소리를 아주 조금 낮춘다.</x:v>
      </x:c>
      <x:c r="L7" s="159" t="str">
        <x:v>냉백. 태블릿 글자는 흰색 계열로만, 경고 빨강이나 경고창 표현 금지.</x:v>
      </x:c>
      <x:c r="M7" s="159" t="str">
        <x:v>아인이 제도 밖에서 살아왔다는 사실을 안다.</x:v>
      </x:c>
      <x:c r="N7" s="159" t="str">
        <x:v>무등록이 무능이나 방치가 아니라 등급 상승을 피하기 위한 의도적 생존 전략이었다고 재해석된다.</x:v>
      </x:c>
      <x:c r="O7" s="159" t="str">
        <x:v>황혼에서는 기록이 없다는 사실도 하나의 선택이 된다.</x:v>
      </x:c>
      <x:c r="P7" s="159" t="str">
        <x:v>등록 여부가 퀘스트·배급·의뢰 접근을 바꾸는 다이에제틱 상태 확인.</x:v>
      </x:c>
      <x:c r="Q7" s="159" t="str">
        <x:v>유진은 아직 고개를 들지 않는다. ‘무등록’을 범죄 경고처럼 표시하지 않는다.</x:v>
      </x:c>
      <x:c r="R7" s="159" t="str">
        <x:v>한 단어가 장면의 온도를 바꾸되 화면 효과로 과장하지 않는다.</x:v>
      </x:c>
      <x:c r="S7" s="217" t="str">
        <x:v>LOCKED_v1</x:v>
      </x:c>
    </x:row>
    <x:row r="8" ht="88" customHeight="1">
      <x:c r="A8" s="209" t="str">
        <x:v>084</x:v>
      </x:c>
      <x:c r="B8" s="211" t="str">
        <x:v>K. 각인 평가소</x:v>
      </x:c>
      <x:c r="C8" s="211" t="str">
        <x:v>변명 없는 확인</x:v>
      </x:c>
      <x:c r="D8" s="209" t="str">
        <x:v>62%</x:v>
      </x:c>
      <x:c r="E8" s="209" t="n">
        <x:v>400</x:v>
      </x:c>
      <x:c r="F8" s="209" t="n">
        <x:v>10</x:v>
      </x:c>
      <x:c r="G8" s="209" t="n">
        <x:v>10</x:v>
      </x:c>
      <x:c r="H8" s="209" t="str">
        <x:v>70mm CU 정면, 아인의 눈높이</x:v>
      </x:c>
      <x:c r="I8" s="159" t="str">
        <x:v>아인은 눈을 피하지 않고 ‘네’라고 답한다. 입술의 움직임은 작고, 턱이나 어깨를 방어적으로 당기지 않는다.</x:v>
      </x:c>
      <x:c r="J8" s="159" t="str">
        <x:v>짧은 말풍선 하나를 얼굴 옆 넓은 빈 공간에 둔다.</x:v>
      </x:c>
      <x:c r="K8" s="159" t="str">
        <x:v>무음에 가깝게. 대답 뒤 효과음 없음.</x:v>
      </x:c>
      <x:c r="L8" s="159" t="str">
        <x:v>냉백이 얼굴을 평평하게 훑고 코어 엠버는 화면 밖에 둔다.</x:v>
      </x:c>
      <x:c r="M8" s="159" t="str">
        <x:v>아인이 자신의 무등록 사실을 숨기지 않음을 본다.</x:v>
      </x:c>
      <x:c r="N8" s="159" t="str">
        <x:v>그녀가 이미 위험과 이익을 계산한 뒤 선택한 상태였음을 안다.</x:v>
      </x:c>
      <x:c r="O8" s="159" t="str">
        <x:v>책임을 감당하는 사람은 먼저 변명하지 않는다.</x:v>
      </x:c>
      <x:c r="P8" s="159" t="str">
        <x:v>대화 선택지 없이도 주인공의 태도를 자세와 시선으로 고정하는 컷신 문법.</x:v>
      </x:c>
      <x:c r="Q8" s="159" t="str">
        <x:v>감정적 도발 표정·죄책감 자막 금지. 왼쪽 견갑·오른쪽 건틀릿 좌우 유지.</x:v>
      </x:c>
      <x:c r="R8" s="159" t="str">
        <x:v>짧은 응답일수록 눈의 고정 시간으로 무게를 만든다.</x:v>
      </x:c>
      <x:c r="S8" s="217" t="str">
        <x:v>LOCKED_v1</x:v>
      </x:c>
    </x:row>
    <x:row r="9" ht="88" customHeight="1">
      <x:c r="A9" s="209" t="str">
        <x:v>085</x:v>
      </x:c>
      <x:c r="B9" s="211" t="str">
        <x:v>K. 각인 평가소</x:v>
      </x:c>
      <x:c r="C9" s="211" t="str">
        <x:v>기간을 묻는 절차</x:v>
      </x:c>
      <x:c r="D9" s="209" t="str">
        <x:v>60%</x:v>
      </x:c>
      <x:c r="E9" s="209" t="n">
        <x:v>400</x:v>
      </x:c>
      <x:c r="F9" s="209" t="n">
        <x:v>10</x:v>
      </x:c>
      <x:c r="G9" s="209" t="n">
        <x:v>10</x:v>
      </x:c>
      <x:c r="H9" s="209" t="str">
        <x:v>65mm CU, 유진 시선 아래쪽</x:v>
      </x:c>
      <x:c r="I9" s="159" t="str">
        <x:v>유진은 여전히 태블릿만 본다. 질문은 심문처럼 몰아붙이지 않고 빈칸을 채우는 속도로 나온다.</x:v>
      </x:c>
      <x:c r="J9" s="159" t="str">
        <x:v>‘언제부터요.’ 말풍선은 이전 컷보다 작고 낮게 배치해 문답의 건조함을 유지.</x:v>
      </x:c>
      <x:c r="K9" s="159" t="str">
        <x:v>주변 형광등 진동음만.</x:v>
      </x:c>
      <x:c r="L9" s="159" t="str">
        <x:v>동일 냉백. 컷 사이 색 변화 없음.</x:v>
      </x:c>
      <x:c r="M9" s="159" t="str">
        <x:v>유진이 무등록 기간을 확인한다.</x:v>
      </x:c>
      <x:c r="N9" s="159" t="str">
        <x:v>2년이라는 답이 얼마나 비정상적인지 알기 전의 평범한 업무 질문으로 다시 보인다.</x:v>
      </x:c>
      <x:c r="O9" s="159" t="str">
        <x:v>큰 사실은 종종 가장 평범한 질문 뒤에 드러난다.</x:v>
      </x:c>
      <x:c r="P9" s="159" t="str">
        <x:v>등록 기록 입력 과정과 세계 내 행정 절차의 리듬.</x:v>
      </x:c>
      <x:c r="Q9" s="159" t="str">
        <x:v>심문 조명·과장된 눈 클로즈업 금지.</x:v>
      </x:c>
      <x:c r="R9" s="159" t="str">
        <x:v>동일 구도의 반복으로 다음 답의 무게를 키운다.</x:v>
      </x:c>
      <x:c r="S9" s="217" t="str">
        <x:v>LOCKED_v1</x:v>
      </x:c>
    </x:row>
    <x:row r="10" ht="88" customHeight="1">
      <x:c r="A10" s="209" t="str">
        <x:v>086</x:v>
      </x:c>
      <x:c r="B10" s="211" t="str">
        <x:v>K. 각인 평가소</x:v>
      </x:c>
      <x:c r="C10" s="211" t="str">
        <x:v>반 박자 늦은 숫자</x:v>
      </x:c>
      <x:c r="D10" s="209" t="str">
        <x:v>62%</x:v>
      </x:c>
      <x:c r="E10" s="209" t="n">
        <x:v>400</x:v>
      </x:c>
      <x:c r="F10" s="209" t="n">
        <x:v>15</x:v>
      </x:c>
      <x:c r="G10" s="209" t="n">
        <x:v>80</x:v>
      </x:c>
      <x:c r="H10" s="209" t="str">
        <x:v>70mm CU, 아인 정면보다 약간 측면</x:v>
      </x:c>
      <x:c r="I10" s="159" t="str">
        <x:v>대답 전 아주 짧게 호흡이 멎는다. 얼굴은 움직이지 않고 입이 열리는 타이밍만 반 박자 늦춘다.</x:v>
      </x:c>
      <x:c r="J10" s="159" t="str">
        <x:v>‘…2년.’은 컷 중앙보다 아래에 두고, 말풍선 뒤 하단 여백을 길게 남긴다.</x:v>
      </x:c>
      <x:c r="K10" s="159" t="str">
        <x:v>대사 전 한 번의 들숨. 이후 무음.</x:v>
      </x:c>
      <x:c r="L10" s="159" t="str">
        <x:v>냉백. 동공과 피부 대비를 과하게 올리지 않는다.</x:v>
      </x:c>
      <x:c r="M10" s="159" t="str">
        <x:v>아인이 2년 동안 평가를 피했다는 사실이 드러난다.</x:v>
      </x:c>
      <x:c r="N10" s="159" t="str">
        <x:v>그 2년이 소심함이 아니라 약한 것만 잡아 성숙을 늦춘 생존 기간이었다고 읽힌다.</x:v>
      </x:c>
      <x:c r="O10" s="159" t="str">
        <x:v>살아남는 데도 포기와 절제가 필요하다.</x:v>
      </x:c>
      <x:c r="P10" s="159" t="str">
        <x:v>저랭크 유지가 곧 위험 회피 전략이 될 수 있다는 세계 규칙의 감정적 선행 학습.</x:v>
      </x:c>
      <x:c r="Q10" s="159" t="str">
        <x:v>회상 삽입·스승 대사 삽입 금지. 현재의 반 박자만으로 과거를 암시한다.</x:v>
      </x:c>
      <x:c r="R10" s="159" t="str">
        <x:v>숫자를 크게 외치지 않고, 대답 뒤의 공백으로 충격을 만든다.</x:v>
      </x:c>
      <x:c r="S10" s="217" t="str">
        <x:v>LOCKED_v1</x:v>
      </x:c>
    </x:row>
    <x:row r="11" ht="88" customHeight="1">
      <x:c r="A11" s="209" t="str">
        <x:v>087</x:v>
      </x:c>
      <x:c r="B11" s="211" t="str">
        <x:v>K. 각인 평가소</x:v>
      </x:c>
      <x:c r="C11" s="211" t="str">
        <x:v>처음 마주친 시선</x:v>
      </x:c>
      <x:c r="D11" s="209" t="str">
        <x:v>70%</x:v>
      </x:c>
      <x:c r="E11" s="209" t="n">
        <x:v>430</x:v>
      </x:c>
      <x:c r="F11" s="209" t="n">
        <x:v>25</x:v>
      </x:c>
      <x:c r="G11" s="209" t="n">
        <x:v>80</x:v>
      </x:c>
      <x:c r="H11" s="209" t="str">
        <x:v>65mm CU, 유진 정면</x:v>
      </x:c>
      <x:c r="I11" s="159" t="str">
        <x:v>유진이 처음으로 고개를 든다. 눈썹이나 입꼬리는 움직이지 않고, 시선축만 태블릿에서 아인에게 정확히 올라온다.</x:v>
      </x:c>
      <x:c r="J11" s="159" t="str">
        <x:v>긴 질문은 한 말풍선에 담되 두 행으로 끊어 읽기 쉽게 한다. 말풍선이 눈을 가리지 않게 좌상단 배치.</x:v>
      </x:c>
      <x:c r="K11" s="159" t="str">
        <x:v>형광등 소리만 남기고 다른 생활음을 잠시 줄인다.</x:v>
      </x:c>
      <x:c r="L11" s="159" t="str">
        <x:v>냉백. 눈에 작은 흰 반사 하나만 남기고 감정색 사용 금지.</x:v>
      </x:c>
      <x:c r="M11" s="159" t="str">
        <x:v>2년 무등록이 유진에게도 예외적이라는 사실을 안다.</x:v>
      </x:c>
      <x:c r="N11" s="159" t="str">
        <x:v>그녀가 아인의 생존 전략과 지금 그것을 포기하는 이유를 직감한 순간으로 읽힌다.</x:v>
      </x:c>
      <x:c r="O11" s="159" t="str">
        <x:v>이해는 표정 변화보다 시선을 드는 행위로 표현될 수 있다.</x:v>
      </x:c>
      <x:c r="P11" s="159" t="str">
        <x:v>중요 대화 시 NPC가 최초로 플레이어와 시선을 맞추는 상호작용 연출.</x:v>
      </x:c>
      <x:c r="Q11" s="159" t="str">
        <x:v>유진의 첫 고개 들기. 이전 컷들에서 미리 눈을 맞추게 하지 않는다.</x:v>
      </x:c>
      <x:c r="R11" s="159" t="str">
        <x:v>정적 긴장은 눈을 크게 뜨는 대신 구도 변화 하나로 만든다.</x:v>
      </x:c>
      <x:c r="S11" s="217" t="str">
        <x:v>LOCKED_v1</x:v>
      </x:c>
    </x:row>
    <x:row r="12" ht="88" customHeight="1">
      <x:c r="A12" s="209" t="str">
        <x:v>088</x:v>
      </x:c>
      <x:c r="B12" s="211" t="str">
        <x:v>K. 각인 평가소</x:v>
      </x:c>
      <x:c r="C12" s="211" t="str">
        <x:v>끝내지 않은 생각</x:v>
      </x:c>
      <x:c r="D12" s="209" t="str">
        <x:v>70%</x:v>
      </x:c>
      <x:c r="E12" s="209" t="n">
        <x:v>400</x:v>
      </x:c>
      <x:c r="F12" s="209" t="n">
        <x:v>20</x:v>
      </x:c>
      <x:c r="G12" s="209" t="n">
        <x:v>140</x:v>
      </x:c>
      <x:c r="H12" s="209" t="str">
        <x:v>60mm MS, 아인 상반신과 낫 일부</x:v>
      </x:c>
      <x:c r="I12" s="159" t="str">
        <x:v>아인은 유진의 시선을 그대로 받는다. 손은 낫에서 떨어져 있고, 어깨도 올라가지 않는다. 대답하지 않는 시간 자체를 한 컷으로 유지한다.</x:v>
      </x:c>
      <x:c r="J12" s="159" t="str">
        <x:v>대사·나레이션 없음. 화면 하단의 빈 공간을 넓게 남긴다.</x:v>
      </x:c>
      <x:c r="K12" s="159" t="str">
        <x:v>완전 무음에 가깝게. 코어 맥박음도 표기하지 않는다.</x:v>
      </x:c>
      <x:c r="L12" s="159" t="str">
        <x:v>냉백. 엠버는 목 뒤에서 한 번 약하게 밝아지되 감정 효과처럼 쓰지 않는다.</x:v>
      </x:c>
      <x:c r="M12" s="159" t="str">
        <x:v>아인이 질문에 바로 답하지 않는다.</x:v>
      </x:c>
      <x:c r="N12" s="159" t="str">
        <x:v>‘등급이 오르면—’에서 생각을 끊고, 안전을 버릴 이유만 남긴 침묵으로 재해석된다.</x:v>
      </x:c>
      <x:c r="O12" s="159" t="str">
        <x:v>황혼의 중요한 결정은 설명보다 멈춘 생각에서 드러난다.</x:v>
      </x:c>
      <x:c r="P12" s="159" t="str">
        <x:v>플레이어가 위험을 모두 설명받지 않은 채 문턱을 넘는 감정적 선택 구간.</x:v>
      </x:c>
      <x:c r="Q12" s="159" t="str">
        <x:v>추가 독백 금지. 눈물·회상·스승 실루엣 삽입 금지.</x:v>
      </x:c>
      <x:c r="R12" s="159" t="str">
        <x:v>침묵을 빈 컷으로 소비하지 않고 자세의 유지 시간으로 체감시킨다.</x:v>
      </x:c>
      <x:c r="S12" s="217" t="str">
        <x:v>LOCKED_v1</x:v>
      </x:c>
    </x:row>
    <x:row r="13" ht="88" customHeight="1">
      <x:c r="A13" s="209" t="str">
        <x:v>089</x:v>
      </x:c>
      <x:c r="B13" s="211" t="str">
        <x:v>K. 각인 평가소</x:v>
      </x:c>
      <x:c r="C13" s="211" t="str">
        <x:v>재촉하지 않는 이유</x:v>
      </x:c>
      <x:c r="D13" s="209" t="str">
        <x:v>64%</x:v>
      </x:c>
      <x:c r="E13" s="209" t="n">
        <x:v>400</x:v>
      </x:c>
      <x:c r="F13" s="209" t="n">
        <x:v>15</x:v>
      </x:c>
      <x:c r="G13" s="209" t="n">
        <x:v>50</x:v>
      </x:c>
      <x:c r="H13" s="209" t="str">
        <x:v>70mm CU, 아인의 입과 눈을 함께</x:v>
      </x:c>
      <x:c r="I13" s="159" t="str">
        <x:v>입이 아주 조금 열리고 시선은 유진에게서 벗어나지 않는다. 한 장인의 이름을 말할 때 표정에 따뜻함을 덧칠하지 않는다.</x:v>
      </x:c>
      <x:c r="J13" s="159" t="str">
        <x:v>‘…한 장인이 재촉을 안 해요.’ 한 말풍선. 첫 말줄임표 뒤 간격을 충분히 둔다.</x:v>
      </x:c>
      <x:c r="K13" s="159" t="str">
        <x:v>대사 외 무음.</x:v>
      </x:c>
      <x:c r="L13" s="159" t="str">
        <x:v>동일 냉백. 피부에 화로의 잔색을 남기지 않는다.</x:v>
      </x:c>
      <x:c r="M13" s="159" t="str">
        <x:v>아인이 지금 등록하는 이유가 장인의 빚 때문임을 안다.</x:v>
      </x:c>
      <x:c r="N13" s="159" t="str">
        <x:v>재촉하지 않은 호의가 오히려 안전을 포기하게 만든 책임으로 바뀌었다고 읽힌다.</x:v>
      </x:c>
      <x:c r="O13" s="159" t="str">
        <x:v>사람을 움직이는 것은 명령보다 갚지 못한 마음일 수 있다.</x:v>
      </x:c>
      <x:c r="P13" s="159" t="str">
        <x:v>장비 제작자와 플레이어의 관계가 수치가 아니라 행동 동기로 작동하는 허브 서사.</x:v>
      </x:c>
      <x:c r="Q13" s="159" t="str">
        <x:v>감상적 미소·장인 회상 삽입 금지. 원문 대사 유지.</x:v>
      </x:c>
      <x:c r="R13" s="159" t="str">
        <x:v>감정을 설명하지 않고 앞 구간의 칩 실랑이를 독자가 연결하게 둔다.</x:v>
      </x:c>
      <x:c r="S13" s="217" t="str">
        <x:v>LOCKED_v1</x:v>
      </x:c>
    </x:row>
    <x:row r="14" ht="88" customHeight="1">
      <x:c r="A14" s="209" t="str">
        <x:v>090</x:v>
      </x:c>
      <x:c r="B14" s="211" t="str">
        <x:v>K. 각인 평가소</x:v>
      </x:c>
      <x:c r="C14" s="211" t="str">
        <x:v>묻지 않는 이해</x:v>
      </x:c>
      <x:c r="D14" s="209" t="str">
        <x:v>68%</x:v>
      </x:c>
      <x:c r="E14" s="209" t="n">
        <x:v>430</x:v>
      </x:c>
      <x:c r="F14" s="209" t="n">
        <x:v>20</x:v>
      </x:c>
      <x:c r="G14" s="209" t="n">
        <x:v>140</x:v>
      </x:c>
      <x:c r="H14" s="209" t="str">
        <x:v>70mm CU, 유진 눈 중심</x:v>
      </x:c>
      <x:c r="I14" s="159" t="str">
        <x:v>유진은 아인을 평소보다 한 호흡 길게 본다. 표정은 그대로이고, 눈의 초점이 태블릿으로 돌아가기 전 잠깐 머문다.</x:v>
      </x:c>
      <x:c r="J14" s="159" t="str">
        <x:v>대사·나레이션 없음.</x:v>
      </x:c>
      <x:c r="K14" s="159" t="str">
        <x:v>형광등 소리가 다시 들리기 시작한다.</x:v>
      </x:c>
      <x:c r="L14" s="159" t="str">
        <x:v>냉백. 눈동자 반사를 늘리지 않는다.</x:v>
      </x:c>
      <x:c r="M14" s="159" t="str">
        <x:v>유진이 아인의 대답을 듣고 잠시 멈춘다.</x:v>
      </x:c>
      <x:c r="N14" s="159" t="str">
        <x:v>그녀가 이유를 캐묻지 않은 것은 무관심이 아니라 그 정도면 충분하다고 판단한 존중으로 읽힌다.</x:v>
      </x:c>
      <x:c r="O14" s="159" t="str">
        <x:v>황혼의 배려는 위로의 말보다 더 묻지 않는 데서 나타난다.</x:v>
      </x:c>
      <x:c r="P14" s="159" t="str">
        <x:v>NPC 관계 연기를 호감도 팝업 없이 시선 지속 시간으로 전달.</x:v>
      </x:c>
      <x:c r="Q14" s="159" t="str">
        <x:v>표정 변화·한숨·미소·추가 대사 금지. 시선의 길이만 조절.</x:v>
      </x:c>
      <x:c r="R14" s="159" t="str">
        <x:v>감정 연기는 작되 독자가 놓치지 않도록 컷 지속 시간을 준다.</x:v>
      </x:c>
      <x:c r="S14" s="217" t="str">
        <x:v>LOCKED_v1</x:v>
      </x:c>
    </x:row>
    <x:row r="15" ht="88" customHeight="1">
      <x:c r="A15" s="209" t="str">
        <x:v>091</x:v>
      </x:c>
      <x:c r="B15" s="211" t="str">
        <x:v>K. 각인 평가소</x:v>
      </x:c>
      <x:c r="C15" s="211" t="str">
        <x:v>문턱을 넘기는 허가</x:v>
      </x:c>
      <x:c r="D15" s="209" t="str">
        <x:v>70%</x:v>
      </x:c>
      <x:c r="E15" s="209" t="n">
        <x:v>430</x:v>
      </x:c>
      <x:c r="F15" s="209" t="n">
        <x:v>25</x:v>
      </x:c>
      <x:c r="G15" s="209" t="n">
        <x:v>90</x:v>
      </x:c>
      <x:c r="H15" s="209" t="str">
        <x:v>55mm MS, 유진과 발판을 한 축에</x:v>
      </x:c>
      <x:c r="I15" s="159" t="str">
        <x:v>유진이 다시 태블릿을 내려다보고 손끝으로 발판 방향을 가리키지 않은 채 말한다. 배경의 발판이 화면 뒤에서 기다리게 한다.</x:v>
      </x:c>
      <x:c r="J15" s="159" t="str">
        <x:v>‘…발판 위로.’는 짧게. 말풍선 아래에 추가 설명 없음.</x:v>
      </x:c>
      <x:c r="K15" s="159" t="str">
        <x:v>태블릿을 한 번 넘기는 소리.</x:v>
      </x:c>
      <x:c r="L15" s="159" t="str">
        <x:v>냉백. 장면의 온도는 바뀌지 않는다.</x:v>
      </x:c>
      <x:c r="M15" s="159" t="str">
        <x:v>평가 절차가 시작된다.</x:v>
      </x:c>
      <x:c r="N15" s="159" t="str">
        <x:v>유진이 설득하거나 축하하지 않고 선택을 존중한 채 절차만 열어준 장면으로 읽힌다.</x:v>
      </x:c>
      <x:c r="O15" s="159" t="str">
        <x:v>결정권을 존중한다는 것은 대신 결정해주지 않는 일이다.</x:v>
      </x:c>
      <x:c r="P15" s="159" t="str">
        <x:v>상호작용 승인 뒤 플레이어가 직접 발판으로 이동하는 허브 흐름의 원형.</x:v>
      </x:c>
      <x:c r="Q15" s="159" t="str">
        <x:v>유진이 손짓으로 재촉하지 않는다. 아인은 스스로 움직여야 한다.</x:v>
      </x:c>
      <x:c r="R15" s="159" t="str">
        <x:v>대화에서 행동으로 전환하는 컷은 짧고 명료하게 처리.</x:v>
      </x:c>
      <x:c r="S15" s="217" t="str">
        <x:v>LOCKED_v1</x:v>
      </x:c>
    </x:row>
    <x:row r="16" ht="88" customHeight="1">
      <x:c r="A16" s="209" t="str">
        <x:v>092</x:v>
      </x:c>
      <x:c r="B16" s="212" t="str">
        <x:v>L. 등급의 가격</x:v>
      </x:c>
      <x:c r="C16" s="212" t="str">
        <x:v>세상이 만든 사다리</x:v>
      </x:c>
      <x:c r="D16" s="209" t="str">
        <x:v>68%</x:v>
      </x:c>
      <x:c r="E16" s="209" t="n">
        <x:v>380</x:v>
      </x:c>
      <x:c r="F16" s="209" t="n">
        <x:v>40</x:v>
      </x:c>
      <x:c r="G16" s="209" t="n">
        <x:v>25</x:v>
      </x:c>
      <x:c r="H16" s="209" t="str">
        <x:v>정면 인서트, 벽의 등급표</x:v>
      </x:c>
      <x:c r="I16" s="159" t="str">
        <x:v>C·B·A·S·SS를 수직 또는 완만한 계단형으로 배치하되 화려한 문장이나 능력 설명은 없다. 사용 흔적과 오래된 인쇄 얼룩을 남긴다.</x:v>
      </x:c>
      <x:c r="J16" s="159" t="str">
        <x:v>표 안의 등급 글자만 읽힌다. 별도 나레이션 없음.</x:v>
      </x:c>
      <x:c r="K16" s="159" t="str">
        <x:v>멀리 번호판 ‘딩—’ 한 번.</x:v>
      </x:c>
      <x:c r="L16" s="159" t="str">
        <x:v>회백 종이·금속 프레임. 등급 글자는 검정, 발광 없음.</x:v>
      </x:c>
      <x:c r="M16" s="159" t="str">
        <x:v>각인자에게 다섯 단계의 등급 체계가 있음을 배운다.</x:v>
      </x:c>
      <x:c r="N16" s="159" t="str">
        <x:v>전투력 사다리로 보이던 것이 성숙도와 수거 우선순위를 기록하는 표였다고 뒤집힌다.</x:v>
      </x:c>
      <x:c r="O16" s="159" t="str">
        <x:v>사람이 만든 사다리가 반드시 위로 가는 길은 아니다.</x:v>
      </x:c>
      <x:c r="P16" s="159" t="str">
        <x:v>게임의 랭크 구조를 HUD보다 먼저 세계 내 게시물로 노출.</x:v>
      </x:c>
      <x:c r="Q16" s="159" t="str">
        <x:v>등급마다 색상을 달리하거나 레어도 아이콘을 붙이지 않는다.</x:v>
      </x:c>
      <x:c r="R16" s="159" t="str">
        <x:v>정보 가독성은 확보하되 게임 화면처럼 보이지 않게 한다.</x:v>
      </x:c>
      <x:c r="S16" s="217" t="str">
        <x:v>LOCKED_v1</x:v>
      </x:c>
    </x:row>
    <x:row r="17" ht="88" customHeight="1">
      <x:c r="A17" s="209" t="str">
        <x:v>093</x:v>
      </x:c>
      <x:c r="B17" s="212" t="str">
        <x:v>L. 등급의 가격</x:v>
      </x:c>
      <x:c r="C17" s="212" t="str">
        <x:v>보상이 늘어나는 발판</x:v>
      </x:c>
      <x:c r="D17" s="209" t="str">
        <x:v>76%</x:v>
      </x:c>
      <x:c r="E17" s="209" t="n">
        <x:v>470</x:v>
      </x:c>
      <x:c r="F17" s="209" t="n">
        <x:v>20</x:v>
      </x:c>
      <x:c r="G17" s="209" t="n">
        <x:v>35</x:v>
      </x:c>
      <x:c r="H17" s="209" t="str">
        <x:v>45mm MS, 아인이 낫을 세우며 발판에 오르는 측면</x:v>
      </x:c>
      <x:c r="I17" s="159" t="str">
        <x:v>낫은 발판 바깥에 수직으로 세우고 아인은 스스로 한 발씩 올라선다. 카인은 화면 가장자리 뒤쪽에만 두어 반보의 관계를 깨지 않는다.</x:v>
      </x:c>
      <x:c r="J17" s="159" t="str">
        <x:v>나레이션은 상단에서 ‘의뢰→보수→배급’ 순으로 세 줄이 아래로 흐르게 배치한다.</x:v>
      </x:c>
      <x:c r="K17" s="159" t="str">
        <x:v>부츠가 금속 발판을 밟는 ‘텅’ 한 번.</x:v>
      </x:c>
      <x:c r="L17" s="159" t="str">
        <x:v>냉백. 발판은 켜지기 전 무광 금속이며 코어만 엠버.</x:v>
      </x:c>
      <x:c r="M17" s="159" t="str">
        <x:v>등급이 생활과 의뢰의 기회를 늘린다는 이익을 이해한다.</x:v>
      </x:c>
      <x:c r="N17" s="159" t="str">
        <x:v>그 이익이 사람을 더 큰 의뢰와 더 빠른 성장으로 밀어 넣는 유인 구조였다고 읽힌다.</x:v>
      </x:c>
      <x:c r="O17" s="159" t="str">
        <x:v>생존을 위해 필요한 보상이 다시 생존을 위협할 수 있다.</x:v>
      </x:c>
      <x:c r="P17" s="159" t="str">
        <x:v>랭크 상승이 상점·의뢰·배급 접근을 해금하는 허브 메타 구조.</x:v>
      </x:c>
      <x:c r="Q17" s="159" t="str">
        <x:v>아인이 발판에 오르는 선택을 타인이 밀거나 끌지 않는다. 좌우 장비 고정.</x:v>
      </x:c>
      <x:c r="R17" s="159" t="str">
        <x:v>설명은 짧게, 행동은 명확하게 보여 보상 구조를 자연스럽게 학습.</x:v>
      </x:c>
      <x:c r="S17" s="217" t="str">
        <x:v>LOCKED_v1</x:v>
      </x:c>
    </x:row>
    <x:row r="18" ht="88" customHeight="1">
      <x:c r="A18" s="209" t="str">
        <x:v>094</x:v>
      </x:c>
      <x:c r="B18" s="212" t="str">
        <x:v>L. 등급의 가격</x:v>
      </x:c>
      <x:c r="C18" s="212" t="str">
        <x:v>선택처럼 보이는 강제</x:v>
      </x:c>
      <x:c r="D18" s="209" t="str">
        <x:v>58%</x:v>
      </x:c>
      <x:c r="E18" s="209" t="n">
        <x:v>400</x:v>
      </x:c>
      <x:c r="F18" s="209" t="n">
        <x:v>20</x:v>
      </x:c>
      <x:c r="G18" s="209" t="n">
        <x:v>110</x:v>
      </x:c>
      <x:c r="H18" s="209" t="str">
        <x:v>부츠 ECU, 발판 상부</x:v>
      </x:c>
      <x:c r="I18" s="159" t="str">
        <x:v>두 부츠가 완전히 발판 안에 들어온 뒤 얇은 원형 조명이 켜진다. 빛은 발끝에서 멈추고 게임식 원형 게이지로 변하지 않는다.</x:v>
      </x:c>
      <x:c r="J18" s="159" t="str">
        <x:v>‘등급이 없으면 아무리 강해도 굶는다.’를 화면 상단의 단일 나레이션 박스로 둔다.</x:v>
      </x:c>
      <x:c r="K18" s="159" t="str">
        <x:v>낮은 전원음이 켜진다.</x:v>
      </x:c>
      <x:c r="L18" s="159" t="str">
        <x:v>무채도 냉백. 조명은 순백에 가까우며 청록 기운 금지.</x:v>
      </x:c>
      <x:c r="M18" s="159" t="str">
        <x:v>등록이 사실상 선택이 아니라 생존 조건임을 안다.</x:v>
      </x:c>
      <x:c r="N18" s="159" t="str">
        <x:v>아인이 안전을 위해 피했던 제도에 빚 때문에 다시 들어갈 수밖에 없었다고 읽힌다.</x:v>
      </x:c>
      <x:c r="O18" s="159" t="str">
        <x:v>제도는 강요하지 않는 얼굴로 사람을 몰아세울 수 있다.</x:v>
      </x:c>
      <x:c r="P18" s="159" t="str">
        <x:v>랭크 등록을 선택적 메뉴가 아니라 경제 루프와 연결된 필수 시스템으로 체감.</x:v>
      </x:c>
      <x:c r="Q18" s="159" t="str">
        <x:v>원형 UI·퍼센트 표시·발광 청록 금지.</x:v>
      </x:c>
      <x:c r="R18" s="159" t="str">
        <x:v>짧은 문장과 긴 하단 여백으로 제도의 압박을 만든다.</x:v>
      </x:c>
      <x:c r="S18" s="217" t="str">
        <x:v>LOCKED_v1</x:v>
      </x:c>
    </x:row>
    <x:row r="19" ht="88" customHeight="1">
      <x:c r="A19" s="209" t="str">
        <x:v>095</x:v>
      </x:c>
      <x:c r="B19" s="213" t="str">
        <x:v>M. 스캔</x:v>
      </x:c>
      <x:c r="C19" s="213" t="str">
        <x:v>몸을 관통하는 계측</x:v>
      </x:c>
      <x:c r="D19" s="209" t="str">
        <x:v>100% 극세로 블리드</x:v>
      </x:c>
      <x:c r="E19" s="209" t="n">
        <x:v>1500</x:v>
      </x:c>
      <x:c r="F19" s="209" t="n">
        <x:v>0</x:v>
      </x:c>
      <x:c r="G19" s="209" t="n">
        <x:v>55</x:v>
      </x:c>
      <x:c r="H19" s="209" t="str">
        <x:v>극세로 전신, 발판 아래에서 척추선을 따라 올려다보는 축</x:v>
      </x:c>
      <x:c r="I19" s="159" t="str">
        <x:v>스캔 빔은 발밑에서 시작해 다리·척추·목덜미 순으로 올라간다. 아인은 프레임 중앙에 고정되고 낫은 옆에서 수직 기준선 역할을 한다.</x:v>
      </x:c>
      <x:c r="J19" s="159" t="str">
        <x:v>텍스트 없음. SFX는 빔의 진행을 따라 아래에서 위로 길게 배치.</x:v>
      </x:c>
      <x:c r="K19" s="159" t="str">
        <x:v>‘위이이잉—’을 한 번만. 기계음이 공간 전체를 채우게 한다.</x:v>
      </x:c>
      <x:c r="L19" s="159" t="str">
        <x:v>스캔은 청록이 아닌 무채도 냉백. 초자연 발광은 코어의 엠버만 허용.</x:v>
      </x:c>
      <x:c r="M19" s="159" t="str">
        <x:v>기계가 아인의 척추 코어를 측정하는 과정을 압도적으로 체감한다.</x:v>
      </x:c>
      <x:c r="N19" s="159" t="str">
        <x:v>사람의 강함보다 몸 안의 성숙 상태를 읽는 검사였다는 사실로 의미가 바뀐다.</x:v>
      </x:c>
      <x:c r="O19" s="159" t="str">
        <x:v>성장은 추상적인 숫자가 아니라 몸을 통과해 기록되는 사건이다.</x:v>
      </x:c>
      <x:c r="P19" s="159" t="str">
        <x:v>랭크 판정 컷신이 향후 게임의 스캔·상태 확인 시각 언어가 된다.</x:v>
      </x:c>
      <x:c r="Q19" s="159" t="str">
        <x:v>빔을 레이저 공격처럼 만들지 않는다. 청록·파랑 네온 금지. 아인 좌우 고정.</x:v>
      </x:c>
      <x:c r="R19" s="159" t="str">
        <x:v>공간 가독성과 세로 상승감을 우선하고, 효과의 화려함은 억제한다.</x:v>
      </x:c>
      <x:c r="S19" s="217" t="str">
        <x:v>LOCKED_v1</x:v>
      </x:c>
    </x:row>
    <x:row r="20" ht="88" customHeight="1">
      <x:c r="A20" s="209" t="str">
        <x:v>096</x:v>
      </x:c>
      <x:c r="B20" s="213" t="str">
        <x:v>M. 스캔</x:v>
      </x:c>
      <x:c r="C20" s="213" t="str">
        <x:v>낯선 신호에 뛴 코어</x:v>
      </x:c>
      <x:c r="D20" s="209" t="str">
        <x:v>58%</x:v>
      </x:c>
      <x:c r="E20" s="209" t="n">
        <x:v>380</x:v>
      </x:c>
      <x:c r="F20" s="209" t="n">
        <x:v>10</x:v>
      </x:c>
      <x:c r="G20" s="209" t="n">
        <x:v>15</x:v>
      </x:c>
      <x:c r="H20" s="209" t="str">
        <x:v>85mm CU, 목덜미 코어</x:v>
      </x:c>
      <x:c r="I20" s="159" t="str">
        <x:v>냉백 빔이 지나간 직후 코어가 한 번 밝아졌다가 원래 밝기로 가라앉는다. 피부와 결정의 접합부를 명확히 보인다.</x:v>
      </x:c>
      <x:c r="J20" s="159" t="str">
        <x:v>텍스트 없음.</x:v>
      </x:c>
      <x:c r="K20" s="159" t="str">
        <x:v>아주 짧은 전기성 떨림과 심박 같은 저음. 글자로 표기하지 않는다.</x:v>
      </x:c>
      <x:c r="L20" s="159" t="str">
        <x:v>코어는 엠버 단독. 주변 스캔광은 무채색.</x:v>
      </x:c>
      <x:c r="M20" s="159" t="str">
        <x:v>아인의 코어가 측정 신호에 반응함을 본다.</x:v>
      </x:c>
      <x:c r="N20" s="159" t="str">
        <x:v>나중에는 단순 측정이 아니라 외부 체계와의 응답 여부를 확인한 장면으로 읽힌다.</x:v>
      </x:c>
      <x:c r="O20" s="159" t="str">
        <x:v>몸이 먼저 대답하는 질문도 있다.</x:v>
      </x:c>
      <x:c r="P20" s="159" t="str">
        <x:v>상태 변화와 외부 신호 반응을 HUD 대신 신체 발광으로 전달.</x:v>
      </x:c>
      <x:c r="Q20" s="159" t="str">
        <x:v>코어 색 변화 금지. 과도한 스파크·고통 표정 삽입 금지.</x:v>
      </x:c>
      <x:c r="R20" s="159" t="str">
        <x:v>짧은 신체 반응으로 다음 데이터 컷의 긴장을 연결한다.</x:v>
      </x:c>
      <x:c r="S20" s="217" t="str">
        <x:v>LOCKED_v1</x:v>
      </x:c>
    </x:row>
    <x:row r="21" ht="88" customHeight="1">
      <x:c r="A21" s="209" t="str">
        <x:v>097</x:v>
      </x:c>
      <x:c r="B21" s="213" t="str">
        <x:v>M. 스캔</x:v>
      </x:c>
      <x:c r="C21" s="213" t="str">
        <x:v>힘이 아닌 세 개의 수치</x:v>
      </x:c>
      <x:c r="D21" s="209" t="str">
        <x:v>66%</x:v>
      </x:c>
      <x:c r="E21" s="209" t="n">
        <x:v>380</x:v>
      </x:c>
      <x:c r="F21" s="209" t="n">
        <x:v>10</x:v>
      </x:c>
      <x:c r="G21" s="209" t="n">
        <x:v>15</x:v>
      </x:c>
      <x:c r="H21" s="209" t="str">
        <x:v>인서트, 홀로그램 수치와 그래프 일부</x:v>
      </x:c>
      <x:c r="I21" s="159" t="str">
        <x:v>공명 주파수·결정 밀도·신경 결합률만 명료하게 읽히고, 공격력·체력·전투력 같은 항목은 존재하지 않는다. 수치는 낡은 장비처럼 약간 흔들린다.</x:v>
      </x:c>
      <x:c r="J21" s="159" t="str">
        <x:v>항목명만. 해설 박스와 수치 비교 화살표 없음.</x:v>
      </x:c>
      <x:c r="K21" s="159" t="str">
        <x:v>기계음의 잔향만.</x:v>
      </x:c>
      <x:c r="L21" s="159" t="str">
        <x:v>회백·백색 정보. 청록 HUD 금지, 붉은색은 다음 컷의 한 점에만 예약.</x:v>
      </x:c>
      <x:c r="M21" s="159" t="str">
        <x:v>등급이 여러 생체 지표로 계산된다는 사실을 본다.</x:v>
      </x:c>
      <x:c r="N21" s="159" t="str">
        <x:v>카인의 근력과 별개로 등급이 다른 무언가를 세고 있었다는 단서가 된다.</x:v>
      </x:c>
      <x:c r="O21" s="159" t="str">
        <x:v>보이는 힘과 시스템이 세는 가치는 다를 수 있다.</x:v>
      </x:c>
      <x:c r="P21" s="159" t="str">
        <x:v>플레이어가 장비 수치가 아니라 공명·신경·결정 상태를 관리하는 세계관 기반 상태 시스템.</x:v>
      </x:c>
      <x:c r="Q21" s="159" t="str">
        <x:v>게임식 능력치 창처럼 정돈하지 않는다. 공격·방어 숫자 추가 금지.</x:v>
      </x:c>
      <x:c r="R21" s="159" t="str">
        <x:v>정보는 읽히되 모든 의미를 설명하지 않아 추측의 여지를 남긴다.</x:v>
      </x:c>
      <x:c r="S21" s="217" t="str">
        <x:v>LOCKED_v1</x:v>
      </x:c>
    </x:row>
    <x:row r="22" ht="88" customHeight="1">
      <x:c r="A22" s="209" t="str">
        <x:v>098</x:v>
      </x:c>
      <x:c r="B22" s="213" t="str">
        <x:v>M. 스캔</x:v>
      </x:c>
      <x:c r="C22" s="213" t="str">
        <x:v>한 번 튄 붉은 점</x:v>
      </x:c>
      <x:c r="D22" s="209" t="str">
        <x:v>54%</x:v>
      </x:c>
      <x:c r="E22" s="209" t="n">
        <x:v>360</x:v>
      </x:c>
      <x:c r="F22" s="209" t="n">
        <x:v>5</x:v>
      </x:c>
      <x:c r="G22" s="209" t="n">
        <x:v>35</x:v>
      </x:c>
      <x:c r="H22" s="209" t="str">
        <x:v>그래프 모서리 ECU이되 화면 중심은 정상 파형</x:v>
      </x:c>
      <x:c r="I22" s="159" t="str">
        <x:v>정상 파형이 지나가는 프레임 모서리에서 붉은 선이 한 번만 짧게 튄다. 스파이크는 컷 중앙이나 시선 유도선 위에 두지 않는다.</x:v>
      </x:c>
      <x:c r="J22" s="159" t="str">
        <x:v>텍스트 없음.</x:v>
      </x:c>
      <x:c r="K22" s="159" t="str">
        <x:v>별도 경고음 없음. 기계음 속 아주 작은 잡음만.</x:v>
      </x:c>
      <x:c r="L22" s="159" t="str">
        <x:v>붉은 선은 얇고 비발광. 나머지는 무채도 냉백.</x:v>
      </x:c>
      <x:c r="M22" s="159" t="str">
        <x:v>오래된 장비의 노이즈처럼 지나간다.</x:v>
      </x:c>
      <x:c r="N22" s="159" t="str">
        <x:v>비정상 공명·외부 신호·장비 오류·시스템 은폐 등 여러 해석이 가능한 열린 흔적으로 남는다.</x:v>
      </x:c>
      <x:c r="O22" s="159" t="str">
        <x:v>모든 이상에는 하나의 정답이 필요한 것은 아니다.</x:v>
      </x:c>
      <x:c r="P22" s="159" t="str">
        <x:v>환경 로어와 팬 추측을 만드는 비강제 단서. 게임에서도 경고 팝업 없이 관찰 가능한 이상 현상.</x:v>
      </x:c>
      <x:c r="Q22" s="159" t="str">
        <x:v>OPEN / INDETERMINATE. 누구도 보지 않음. 줌·경고창·붉은 화면 전환 금지.</x:v>
      </x:c>
      <x:c r="R22" s="159" t="str">
        <x:v>복선은 존재하되 다음 화를 약속하는 낚시로 과장하지 않는다.</x:v>
      </x:c>
      <x:c r="S22" s="217" t="str">
        <x:v>LOCKED_v1</x:v>
      </x:c>
    </x:row>
    <x:row r="23" ht="88" customHeight="1">
      <x:c r="A23" s="209" t="str">
        <x:v>099</x:v>
      </x:c>
      <x:c r="B23" s="213" t="str">
        <x:v>M. 스캔</x:v>
      </x:c>
      <x:c r="C23" s="213" t="str">
        <x:v>C의 가장 높은 자리</x:v>
      </x:c>
      <x:c r="D23" s="209" t="str">
        <x:v>64%</x:v>
      </x:c>
      <x:c r="E23" s="209" t="n">
        <x:v>400</x:v>
      </x:c>
      <x:c r="F23" s="209" t="n">
        <x:v>10</x:v>
      </x:c>
      <x:c r="G23" s="209" t="n">
        <x:v>15</x:v>
      </x:c>
      <x:c r="H23" s="209" t="str">
        <x:v>65mm CU, 멈춘 수치와 C 구간 전체</x:v>
      </x:c>
      <x:c r="I23" s="159" t="str">
        <x:v>움직이던 표시가 C 구간의 상단에서 멈춘다. B 경계는 보이지만 아직 강조하지 않고, C 내부의 위치가 먼저 읽히게 한다.</x:v>
      </x:c>
      <x:c r="J23" s="159" t="str">
        <x:v>텍스트 없음.</x:v>
      </x:c>
      <x:c r="K23" s="159" t="str">
        <x:v>기계음이 짧게 멎는 ‘틱’.</x:v>
      </x:c>
      <x:c r="L23" s="159" t="str">
        <x:v>회백 정보판. C를 색으로 칠하지 않는다.</x:v>
      </x:c>
      <x:c r="M23" s="159" t="str">
        <x:v>아인의 첫 판정이 C 상단임을 안다.</x:v>
      </x:c>
      <x:c r="N23" s="159" t="str">
        <x:v>약한 것이 아니라 의도적으로 성장 속도를 늦춘 2년의 결과였음을 이해한다.</x:v>
      </x:c>
      <x:c r="O23" s="159" t="str">
        <x:v>절제는 숫자에 드러나지 않아도 생명을 연장할 수 있다.</x:v>
      </x:c>
      <x:c r="P23" s="159" t="str">
        <x:v>랭크 결과를 전투력 평가가 아니라 위험·성장 상태로 해석하게 하는 첫 판정.</x:v>
      </x:c>
      <x:c r="Q23" s="159" t="str">
        <x:v>C를 실패·낙제처럼 연출하지 않는다. 축하 이펙트도 금지.</x:v>
      </x:c>
      <x:c r="R23" s="159" t="str">
        <x:v>결과는 건조하게, 의미는 다음 확대 컷에서 깊어진다.</x:v>
      </x:c>
      <x:c r="S23" s="217" t="str">
        <x:v>LOCKED_v1</x:v>
      </x:c>
    </x:row>
    <x:row r="24" ht="88" customHeight="1">
      <x:c r="A24" s="209" t="str">
        <x:v>100</x:v>
      </x:c>
      <x:c r="B24" s="213" t="str">
        <x:v>M. 스캔</x:v>
      </x:c>
      <x:c r="C24" s="213" t="str">
        <x:v>손가락 하나의 안전</x:v>
      </x:c>
      <x:c r="D24" s="209" t="str">
        <x:v>58%</x:v>
      </x:c>
      <x:c r="E24" s="209" t="n">
        <x:v>430</x:v>
      </x:c>
      <x:c r="F24" s="209" t="n">
        <x:v>15</x:v>
      </x:c>
      <x:c r="G24" s="209" t="n">
        <x:v>160</x:v>
      </x:c>
      <x:c r="H24" s="209" t="str">
        <x:v>85mm ECU, C 상단과 B 경계 사이</x:v>
      </x:c>
      <x:c r="I24" s="159" t="str">
        <x:v>C 표시와 B 경계 사이를 실제 손가락 하나 폭만큼 남긴다. 화면의 빈 간격 자체가 수치보다 먼저 읽히게 한다.</x:v>
      </x:c>
      <x:c r="J24" s="159" t="str">
        <x:v>나레이션 ‘2년을 아껴 쓴 결과가 그것이었다.’는 하단 빈 공간에 한 줄로 둔다.</x:v>
      </x:c>
      <x:c r="K24" s="159" t="str">
        <x:v>무음.</x:v>
      </x:c>
      <x:c r="L24" s="159" t="str">
        <x:v>무채도 정보판. 경계선은 흰색 계열, 엠버·붉은 강조 금지.</x:v>
      </x:c>
      <x:c r="M24" s="159" t="str">
        <x:v>아인이 B 바로 아래까지 성장해 있었음을 본다.</x:v>
      </x:c>
      <x:c r="N24" s="159" t="str">
        <x:v>그 한 칸이 수거 대상이 되는 시기를 늦춘 생존 거리였다고 읽힌다.</x:v>
      </x:c>
      <x:c r="O24" s="159" t="str">
        <x:v>황혼의 삶은 때로 한 발 앞으로 가지 않는 능력에 달려 있다.</x:v>
      </x:c>
      <x:c r="P24" s="159" t="str">
        <x:v>성장 게이지가 보상만이 아니라 위험 임계선이 되는 게임 철학의 핵심 시각화.</x:v>
      </x:c>
      <x:c r="Q24" s="159" t="str">
        <x:v>복선 강조 금지. B 경계를 번쩍이게 하지 않는다. ‘실패’ 문구 금지.</x:v>
      </x:c>
      <x:c r="R24" s="159" t="str">
        <x:v>작은 간격을 큰 공백으로 체감시켜 정적 긴장을 만든다.</x:v>
      </x:c>
      <x:c r="S24" s="217" t="str">
        <x:v>LOCKED_v1</x:v>
      </x:c>
    </x:row>
    <x:row r="25" ht="88" customHeight="1">
      <x:c r="A25" s="209" t="str">
        <x:v>101</x:v>
      </x:c>
      <x:c r="B25" s="214" t="str">
        <x:v>N. C 인식표</x:v>
      </x:c>
      <x:c r="C25" s="214" t="str">
        <x:v>분류를 찍는 기계</x:v>
      </x:c>
      <x:c r="D25" s="209" t="str">
        <x:v>64%</x:v>
      </x:c>
      <x:c r="E25" s="209" t="n">
        <x:v>400</x:v>
      </x:c>
      <x:c r="F25" s="209" t="n">
        <x:v>25</x:v>
      </x:c>
      <x:c r="G25" s="209" t="n">
        <x:v>15</x:v>
      </x:c>
      <x:c r="H25" s="209" t="str">
        <x:v>55mm MS, 유진의 손과 각인기</x:v>
      </x:c>
      <x:c r="I25" s="159" t="str">
        <x:v>유진이 손목만 움직여 콘솔 옆 각인기를 끌어당긴다. 동작은 익숙하고 빠르며 의식적인 긴장 연기가 없다.</x:v>
      </x:c>
      <x:c r="J25" s="159" t="str">
        <x:v>텍스트 없음.</x:v>
      </x:c>
      <x:c r="K25" s="159" t="str">
        <x:v>금속 레일을 끄는 ‘철컥’ 한 번.</x:v>
      </x:c>
      <x:c r="L25" s="159" t="str">
        <x:v>냉백. 기계는 닳은 검정·회색 금속, 표시등 발광 없음.</x:v>
      </x:c>
      <x:c r="M25" s="159" t="str">
        <x:v>판정 결과가 공식 인식표로 만들어질 준비를 본다.</x:v>
      </x:c>
      <x:c r="N25" s="159" t="str">
        <x:v>검사가 사람을 이해하는 과정이 아니라 분류를 물건에 새기는 절차였다고 읽힌다.</x:v>
      </x:c>
      <x:c r="O25" s="159" t="str">
        <x:v>숫자는 몸에서 나오지만, 낙인은 제도가 찍는다.</x:v>
      </x:c>
      <x:c r="P25" s="159" t="str">
        <x:v>랭크 결과를 물리적 태그로 저장하는 다이에제틱 세이브·신분 시스템.</x:v>
      </x:c>
      <x:c r="Q25" s="159" t="str">
        <x:v>새 장비처럼 깨끗하게 그리지 않는다. 과한 기계 팔·자동화 연출 금지.</x:v>
      </x:c>
      <x:c r="R25" s="159" t="str">
        <x:v>동작은 짧고 무게감 있게, 다음 타격 컷을 준비한다.</x:v>
      </x:c>
      <x:c r="S25" s="217" t="str">
        <x:v>LOCKED_v1</x:v>
      </x:c>
    </x:row>
    <x:row r="26" ht="88" customHeight="1">
      <x:c r="A26" s="209" t="str">
        <x:v>102</x:v>
      </x:c>
      <x:c r="B26" s="214" t="str">
        <x:v>N. C 인식표</x:v>
      </x:c>
      <x:c r="C26" s="214" t="str">
        <x:v>뜨거운 글자 C</x:v>
      </x:c>
      <x:c r="D26" s="209" t="str">
        <x:v>58%</x:v>
      </x:c>
      <x:c r="E26" s="209" t="n">
        <x:v>400</x:v>
      </x:c>
      <x:c r="F26" s="209" t="n">
        <x:v>10</x:v>
      </x:c>
      <x:c r="G26" s="209" t="n">
        <x:v>60</x:v>
      </x:c>
      <x:c r="H26" s="209" t="str">
        <x:v>90mm ECU, 금속 인식표와 각인기 끝</x:v>
      </x:c>
      <x:c r="I26" s="159" t="str">
        <x:v>각인기가 내려와 C를 눌러 박고, 홈 가장자리에서 얇은 연기만 오른다. 글자는 단정하지만 표면의 긁힘은 남아 있다.</x:v>
      </x:c>
      <x:c r="J26" s="159" t="str">
        <x:v>텍스트 없음.</x:v>
      </x:c>
      <x:c r="K26" s="159" t="str">
        <x:v>‘치익—’을 금속 가까이 짧고 굵게.</x:v>
      </x:c>
      <x:c r="L26" s="159" t="str">
        <x:v>눌린 홈 안쪽만 낮은 엠버 열기. 네온 발광 금지.</x:v>
      </x:c>
      <x:c r="M26" s="159" t="str">
        <x:v>아인이 공식 C 용병이 된다.</x:v>
      </x:c>
      <x:c r="N26" s="159" t="str">
        <x:v>축하 배지처럼 보이던 글자가 성숙 단계와 수거 분류의 표식이었다고 뒤집힌다.</x:v>
      </x:c>
      <x:c r="O26" s="159" t="str">
        <x:v>사람의 이름보다 먼저 등급이 찍히는 세계를 체감한다.</x:v>
      </x:c>
      <x:c r="P26" s="159" t="str">
        <x:v>랭크 태그 제작·신분 증명·의뢰 접근을 하나의 물리 아이템으로 통합.</x:v>
      </x:c>
      <x:c r="Q26" s="159" t="str">
        <x:v>C 글자 형태·크기 연속성 고정. 불꽃 폭발·희귀도 색상 금지.</x:v>
      </x:c>
      <x:c r="R26" s="159" t="str">
        <x:v>타격음과 열기로 인식표의 물성을 살린다.</x:v>
      </x:c>
      <x:c r="S26" s="217" t="str">
        <x:v>LOCKED_v1</x:v>
      </x:c>
    </x:row>
    <x:row r="27" ht="88" customHeight="1">
      <x:c r="A27" s="209" t="str">
        <x:v>103</x:v>
      </x:c>
      <x:c r="B27" s="214" t="str">
        <x:v>N. C 인식표</x:v>
      </x:c>
      <x:c r="C27" s="214" t="str">
        <x:v>처음 불린 용병</x:v>
      </x:c>
      <x:c r="D27" s="209" t="str">
        <x:v>68%</x:v>
      </x:c>
      <x:c r="E27" s="209" t="n">
        <x:v>400</x:v>
      </x:c>
      <x:c r="F27" s="209" t="n">
        <x:v>15</x:v>
      </x:c>
      <x:c r="G27" s="209" t="n">
        <x:v>15</x:v>
      </x:c>
      <x:c r="H27" s="209" t="str">
        <x:v>55mm MS, 유진은 태블릿을 보고 아인은 프레임 반대편</x:v>
      </x:c>
      <x:c r="I27" s="159" t="str">
        <x:v>유진은 아인을 보지 않고 기록을 읽는다. 아인은 화면 가장자리에서 서서 결과를 받으며 낫은 세워 둔다.</x:v>
      </x:c>
      <x:c r="J27" s="159" t="str">
        <x:v>‘아인 용병. 척추 코어 공명 확인.’은 두 줄로, 행정 문구처럼 반듯하게 배치.</x:v>
      </x:c>
      <x:c r="K27" s="159" t="str">
        <x:v>주변 기계음이 다시 낮게 돌아온다.</x:v>
      </x:c>
      <x:c r="L27" s="159" t="str">
        <x:v>냉백. 인물 간 색 차이를 주지 않는다.</x:v>
      </x:c>
      <x:c r="M27" s="159" t="str">
        <x:v>아인이 처음으로 체계 안에서 ‘용병’이라 불린다.</x:v>
      </x:c>
      <x:c r="N27" s="159" t="str">
        <x:v>이 호칭이 자유를 얻는 이름이 아니라 더 큰 의뢰와 성장 경로에 편입되는 선언으로 읽힌다.</x:v>
      </x:c>
      <x:c r="O27" s="159" t="str">
        <x:v>이름 뒤에 붙는 호칭은 새로운 가능성과 새로운 의무를 동시에 만든다.</x:v>
      </x:c>
      <x:c r="P27" s="159" t="str">
        <x:v>플레이어의 공식 클래스·직업 등록을 세계 내 음성 절차로 전달.</x:v>
      </x:c>
      <x:c r="Q27" s="159" t="str">
        <x:v>유진은 고개를 들지 않는다. 영웅 임명식 같은 구도 금지.</x:v>
      </x:c>
      <x:c r="R27" s="159" t="str">
        <x:v>장엄함 대신 건조함으로 변화의 무게를 만든다.</x:v>
      </x:c>
      <x:c r="S27" s="217" t="str">
        <x:v>LOCKED_v1</x:v>
      </x:c>
    </x:row>
    <x:row r="28" ht="88" customHeight="1">
      <x:c r="A28" s="209" t="str">
        <x:v>104</x:v>
      </x:c>
      <x:c r="B28" s="214" t="str">
        <x:v>N. C 인식표</x:v>
      </x:c>
      <x:c r="C28" s="214" t="str">
        <x:v>손에 넘어온 열</x:v>
      </x:c>
      <x:c r="D28" s="209" t="str">
        <x:v>58%</x:v>
      </x:c>
      <x:c r="E28" s="209" t="n">
        <x:v>380</x:v>
      </x:c>
      <x:c r="F28" s="209" t="n">
        <x:v>10</x:v>
      </x:c>
      <x:c r="G28" s="209" t="n">
        <x:v>20</x:v>
      </x:c>
      <x:c r="H28" s="209" t="str">
        <x:v>80mm CU, 유진 손에서 아인 손으로 넘어가는 태그</x:v>
      </x:c>
      <x:c r="I28" s="159" t="str">
        <x:v>아직 뜨거운 인식표가 두 손 사이의 빈 공간을 건넌다. 아인은 오른손 건틀릿이 아닌 맨손 쪽으로 받아 열기를 느끼게 한다.</x:v>
      </x:c>
      <x:c r="J28" s="159" t="str">
        <x:v>텍스트 없음.</x:v>
      </x:c>
      <x:c r="K28" s="159" t="str">
        <x:v>금속이 손바닥에 닿는 작은 ‘딱’.</x:v>
      </x:c>
      <x:c r="L28" s="159" t="str">
        <x:v>태그 홈의 열만 낮은 엠버. 피부와 배경은 냉백.</x:v>
      </x:c>
      <x:c r="M28" s="159" t="str">
        <x:v>아인이 자신의 등급표를 직접 받는다.</x:v>
      </x:c>
      <x:c r="N28" s="159" t="str">
        <x:v>손에 쥔 것은 보상이라기보다 스스로 선택한 위험의 증표였다고 읽힌다.</x:v>
      </x:c>
      <x:c r="O28" s="159" t="str">
        <x:v>선택의 대가는 대개 손에 잡히는 형태로 돌아온다.</x:v>
      </x:c>
      <x:c r="P28" s="159" t="str">
        <x:v>획득 아이템 연출을 폭발적 보상창 대신 손의 접촉과 열로 표현.</x:v>
      </x:c>
      <x:c r="Q28" s="159" t="str">
        <x:v>아인의 오른쪽 건틀릿·왼쪽 견갑 방향 확인. 태그를 공중 회전시키지 않는다.</x:v>
      </x:c>
      <x:c r="R28" s="159" t="str">
        <x:v>획득의 쾌감보다 물성과 책임을 우선한다.</x:v>
      </x:c>
      <x:c r="S28" s="217" t="str">
        <x:v>LOCKED_v1</x:v>
      </x:c>
    </x:row>
    <x:row r="29" ht="88" customHeight="1">
      <x:c r="A29" s="209" t="str">
        <x:v>105</x:v>
      </x:c>
      <x:c r="B29" s="214" t="str">
        <x:v>N. C 인식표</x:v>
      </x:c>
      <x:c r="C29" s="214" t="str">
        <x:v>축하라는 말의 반대편</x:v>
      </x:c>
      <x:c r="D29" s="209" t="str">
        <x:v>72%</x:v>
      </x:c>
      <x:c r="E29" s="209" t="n">
        <x:v>430</x:v>
      </x:c>
      <x:c r="F29" s="209" t="n">
        <x:v>25</x:v>
      </x:c>
      <x:c r="G29" s="209" t="n">
        <x:v>150</x:v>
      </x:c>
      <x:c r="H29" s="209" t="str">
        <x:v>55mm MS, 아인이 태그를 목에 걸고 유진은 배경</x:v>
      </x:c>
      <x:c r="I29" s="159" t="str">
        <x:v>아인은 고개만 한 번 까딱하고 인식표를 목에 건다. 유진은 태블릿에서 눈을 떼며 말하지만 미소 짓지 않는다.</x:v>
      </x:c>
      <x:c r="J29" s="159" t="str">
        <x:v>유진의 대사는 화면 상단. ‘아주 유망’에 따옴표를 유지하되 글자 강조·색상 변화 없음.</x:v>
      </x:c>
      <x:c r="K29" s="159" t="str">
        <x:v>태그가 목에 닿는 짧은 금속음.</x:v>
      </x:c>
      <x:c r="L29" s="159" t="str">
        <x:v>냉백 속 인식표의 열이 사라지며 엠버도 꺼진다.</x:v>
      </x:c>
      <x:c r="M29" s="159" t="str">
        <x:v>아인은 성장 가능성이 높다는 평가와 축하를 받는다.</x:v>
      </x:c>
      <x:c r="N29" s="159" t="str">
        <x:v>‘유망’이 강한 전사가 될 가능성이 아니라 빠르게 성숙할 가능성을 뜻했다는 사실로 뒤집힌다.</x:v>
      </x:c>
      <x:c r="O29" s="159" t="str">
        <x:v>축복의 언어가 누구의 목적에서 나온 말인지 다시 물어보게 된다.</x:v>
      </x:c>
      <x:c r="P29" s="159" t="str">
        <x:v>랭크 상승·성장 잠재력 문구를 순수한 보상으로 믿지 않게 만드는 게임 내 세계관 경고.</x:v>
      </x:c>
      <x:c r="Q29" s="159" t="str">
        <x:v>🎣 강조 금지. 유진의 대사는 원문 그대로. 아인은 고개만 까딱, 웃지 않는다.</x:v>
      </x:c>
      <x:c r="R29" s="159" t="str">
        <x:v>아이러니는 음악·붉은 화면이 아니라 후일 재독에서 발생하게 둔다.</x:v>
      </x:c>
      <x:c r="S29" s="217" t="str">
        <x:v>LOCKED_v1</x:v>
      </x:c>
    </x:row>
    <x:row r="30" ht="88" customHeight="1">
      <x:c r="A30" s="209" t="str">
        <x:v>106</x:v>
      </x:c>
      <x:c r="B30" s="215" t="str">
        <x:v>O. 두 번째 C</x:v>
      </x:c>
      <x:c r="C30" s="215" t="str">
        <x:v>몸과 수치의 불일치</x:v>
      </x:c>
      <x:c r="D30" s="209" t="str">
        <x:v>78%</x:v>
      </x:c>
      <x:c r="E30" s="209" t="n">
        <x:v>470</x:v>
      </x:c>
      <x:c r="F30" s="209" t="n">
        <x:v>35</x:v>
      </x:c>
      <x:c r="G30" s="209" t="n">
        <x:v>25</x:v>
      </x:c>
      <x:c r="H30" s="209" t="str">
        <x:v>40mm MS 전신, 카인이 발판에 올라서는 구도</x:v>
      </x:c>
      <x:c r="I30" s="159" t="str">
        <x:v>카인의 큰 체구와 62kg 대검이 발판 공간을 압도하지만, 그는 한 손으로 검을 들고 편하게 선다. 스캔은 아인 때와 똑같은 절차로 지나간다.</x:v>
      </x:c>
      <x:c r="J30" s="159" t="str">
        <x:v>텍스트 없음.</x:v>
      </x:c>
      <x:c r="K30" s="159" t="str">
        <x:v>‘위이이잉—’은 첫 스캔보다 짧게.</x:v>
      </x:c>
      <x:c r="L30" s="159" t="str">
        <x:v>무채도 냉백. 대검은 무광 티타늄, 초자연 발광 없음.</x:v>
      </x:c>
      <x:c r="M30" s="159" t="str">
        <x:v>압도적인 힘을 가진 카인도 같은 평가를 받는다.</x:v>
      </x:c>
      <x:c r="N30" s="159" t="str">
        <x:v>등급이 눈에 보이는 근력이나 전투 능력을 재는 숫자가 아니라는 사실이 선명해진다.</x:v>
      </x:c>
      <x:c r="O30" s="159" t="str">
        <x:v>시스템의 숫자는 사람 전체를 설명하지 못한다.</x:v>
      </x:c>
      <x:c r="P30" s="159" t="str">
        <x:v>캐릭터의 체감 성능과 세계 내 랭크를 의도적으로 분리하는 설계 원칙.</x:v>
      </x:c>
      <x:c r="Q30" s="159" t="str">
        <x:v>카인은 대검을 한 손으로 든다. 힘든 표정·검을 내려놓는 동작 금지.</x:v>
      </x:c>
      <x:c r="R30" s="159" t="str">
        <x:v>무기의 중량감은 살리되 절차는 동일하게 보여 불일치를 강조한다.</x:v>
      </x:c>
      <x:c r="S30" s="217" t="str">
        <x:v>LOCKED_v1</x:v>
      </x:c>
    </x:row>
    <x:row r="31" ht="88" customHeight="1">
      <x:c r="A31" s="209" t="str">
        <x:v>107</x:v>
      </x:c>
      <x:c r="B31" s="215" t="str">
        <x:v>O. 두 번째 C</x:v>
      </x:c>
      <x:c r="C31" s="215" t="str">
        <x:v>같은 글자, 다른 사람</x:v>
      </x:c>
      <x:c r="D31" s="209" t="str">
        <x:v>56%</x:v>
      </x:c>
      <x:c r="E31" s="209" t="n">
        <x:v>380</x:v>
      </x:c>
      <x:c r="F31" s="209" t="n">
        <x:v>10</x:v>
      </x:c>
      <x:c r="G31" s="209" t="n">
        <x:v>30</x:v>
      </x:c>
      <x:c r="H31" s="209" t="str">
        <x:v>90mm ECU, 두 번째 태그의 C</x:v>
      </x:c>
      <x:c r="I31" s="159" t="str">
        <x:v>첫 태그와 동일한 각도·글자 크기로 C가 눌러 박힌다. 가능하면 CUT102와 거의 같은 구도로 맞춘다.</x:v>
      </x:c>
      <x:c r="J31" s="159" t="str">
        <x:v>텍스트 없음.</x:v>
      </x:c>
      <x:c r="K31" s="159" t="str">
        <x:v>‘치익—’ 동일한 크기.</x:v>
      </x:c>
      <x:c r="L31" s="159" t="str">
        <x:v>낮은 엠버 열기와 회색 금속. 첫 태그와 색 차이 없음.</x:v>
      </x:c>
      <x:c r="M31" s="159" t="str">
        <x:v>카인도 C 판정을 받는다.</x:v>
      </x:c>
      <x:c r="N31" s="159" t="str">
        <x:v>서로 다른 능력과 삶을 같은 한 글자로 묶는 제도의 거칠음이 보인다.</x:v>
      </x:c>
      <x:c r="O31" s="159" t="str">
        <x:v>같은 표식이 같은 사람을 뜻하지 않는다.</x:v>
      </x:c>
      <x:c r="P31" s="159" t="str">
        <x:v>동일 랭크 안에서도 전투 역할과 조작 감각이 완전히 다른 캐릭터 설계의 근거.</x:v>
      </x:c>
      <x:c r="Q31" s="159" t="str">
        <x:v>CUT102와 동일 조형. 대검 무게나 힘 수치 표기 금지.</x:v>
      </x:c>
      <x:c r="R31" s="159" t="str">
        <x:v>반복 구도로 제도의 획일성을 보여준다.</x:v>
      </x:c>
      <x:c r="S31" s="217" t="str">
        <x:v>LOCKED_v1</x:v>
      </x:c>
    </x:row>
    <x:row r="32" ht="88" customHeight="1">
      <x:c r="A32" s="209" t="str">
        <x:v>108</x:v>
      </x:c>
      <x:c r="B32" s="215" t="str">
        <x:v>O. 두 번째 C</x:v>
      </x:c>
      <x:c r="C32" s="215" t="str">
        <x:v>납득되지 않는 한 글자</x:v>
      </x:c>
      <x:c r="D32" s="209" t="str">
        <x:v>64%</x:v>
      </x:c>
      <x:c r="E32" s="209" t="n">
        <x:v>400</x:v>
      </x:c>
      <x:c r="F32" s="209" t="n">
        <x:v>20</x:v>
      </x:c>
      <x:c r="G32" s="209" t="n">
        <x:v>80</x:v>
      </x:c>
      <x:c r="H32" s="209" t="str">
        <x:v>70mm CU, 카인의 손바닥과 얼굴 하단</x:v>
      </x:c>
      <x:c r="I32" s="159" t="str">
        <x:v>카인은 태그를 손바닥에 올려 오래 내려다본다. 대사를 하기 전 침묵을 먼저 두고, 눈썹이 아니라 고개 각도만 아주 조금 낮춘다.</x:v>
      </x:c>
      <x:c r="J32" s="159" t="str">
        <x:v>원문 대사 ‘…이게 왜 C야.’만. 추가 투덜거림은 다음 컷으로 넘긴다.</x:v>
      </x:c>
      <x:c r="K32" s="159" t="str">
        <x:v>침묵 뒤 아주 작은 숨.</x:v>
      </x:c>
      <x:c r="L32" s="159" t="str">
        <x:v>냉백. 태그는 이미 식어 발광하지 않는다.</x:v>
      </x:c>
      <x:c r="M32" s="159" t="str">
        <x:v>카인이 판정을 이해하지 못하고 묻는다.</x:v>
      </x:c>
      <x:c r="N32" s="159" t="str">
        <x:v>그의 상식적인 불만이 작품 전체의 핵심 질문—등급은 대체 무엇을 세는가—를 정확히 짚었다고 읽힌다.</x:v>
      </x:c>
      <x:c r="O32" s="159" t="str">
        <x:v>가장 중요한 질문은 때로 가장 평범한 불평의 형태로 나온다.</x:v>
      </x:c>
      <x:c r="P32" s="159" t="str">
        <x:v>플레이어에게 세계의 랭크와 실제 전투 성능의 불일치를 의식시키는 캐릭터 대사.</x:v>
      </x:c>
      <x:c r="Q32" s="159" t="str">
        <x:v>🤫는 원문 한 줄 전 침묵 유지 의미. 원문 대사 외 추가 말풍선·개그 표정 금지.</x:v>
      </x:c>
      <x:c r="R32" s="159" t="str">
        <x:v>인간적인 웃음은 유지하되 미스터리의 핵심 질문을 가볍게 소모하지 않는다.</x:v>
      </x:c>
      <x:c r="S32" s="217" t="str">
        <x:v>LOCKED_v1</x:v>
      </x:c>
    </x:row>
    <x:row r="33" ht="88" customHeight="1">
      <x:c r="A33" s="209" t="str">
        <x:v>109</x:v>
      </x:c>
      <x:c r="B33" s="215" t="str">
        <x:v>O. 두 번째 C</x:v>
      </x:c>
      <x:c r="C33" s="215" t="str">
        <x:v>무게는 세지 않는 시스템</x:v>
      </x:c>
      <x:c r="D33" s="209" t="str">
        <x:v>68%</x:v>
      </x:c>
      <x:c r="E33" s="209" t="n">
        <x:v>430</x:v>
      </x:c>
      <x:c r="F33" s="209" t="n">
        <x:v>20</x:v>
      </x:c>
      <x:c r="G33" s="209" t="n">
        <x:v>35</x:v>
      </x:c>
      <x:c r="H33" s="209" t="str">
        <x:v>55mm MS, 유진 측면과 태블릿</x:v>
      </x:c>
      <x:c r="I33" s="159" t="str">
        <x:v>유진은 카인을 보지 않고 다음 화면으로 넘긴다. 대답은 공격적이지 않고 규정 문구를 읽는 속도다.</x:v>
      </x:c>
      <x:c r="J33" s="159" t="str">
        <x:v>첫 문장과 ‘다음 분.’을 같은 말풍선 안에서 짧은 간격으로 분리한다.</x:v>
      </x:c>
      <x:c r="K33" s="159" t="str">
        <x:v>태블릿 넘김 ‘슥’.</x:v>
      </x:c>
      <x:c r="L33" s="159" t="str">
        <x:v>냉백. 주변 인물에게 반응광 없음.</x:v>
      </x:c>
      <x:c r="M33" s="159" t="str">
        <x:v>대검의 무게가 등급에 반영되지 않는다는 설명을 듣는다.</x:v>
      </x:c>
      <x:c r="N33" s="159" t="str">
        <x:v>이 한 문장이 등급이 힘의 순위가 아니라는 명시적 단서였다고 보인다.</x:v>
      </x:c>
      <x:c r="O33" s="159" t="str">
        <x:v>측정 가능한 것만 중요하다고 믿는 체계에는 항상 빠지는 것이 있다.</x:v>
      </x:c>
      <x:c r="P33" s="159" t="str">
        <x:v>랭크와 장비 중량·근력 스탯을 별개 축으로 운용하는 게임 시스템의 서사적 근거.</x:v>
      </x:c>
      <x:c r="Q33" s="159" t="str">
        <x:v>유진은 눈을 마주치지 않는다. 비꼬는 표정·말풍선 강조 금지.</x:v>
      </x:c>
      <x:c r="R33" s="159" t="str">
        <x:v>건조한 답이 카인의 생활형 불평과 대비되며 짧은 인간적 완충을 만든다.</x:v>
      </x:c>
      <x:c r="S33" s="217" t="str">
        <x:v>LOCKED_v1</x:v>
      </x:c>
    </x:row>
    <x:row r="34" ht="88" customHeight="1">
      <x:c r="A34" s="209" t="str">
        <x:v>110</x:v>
      </x:c>
      <x:c r="B34" s="215" t="str">
        <x:v>O. 두 번째 C</x:v>
      </x:c>
      <x:c r="C34" s="215" t="str">
        <x:v>아무도 답하지 않은 질문</x:v>
      </x:c>
      <x:c r="D34" s="209" t="str">
        <x:v>88%</x:v>
      </x:c>
      <x:c r="E34" s="209" t="n">
        <x:v>560</x:v>
      </x:c>
      <x:c r="F34" s="209" t="n">
        <x:v>35</x:v>
      </x:c>
      <x:c r="G34" s="209" t="n">
        <x:v>280</x:v>
      </x:c>
      <x:c r="H34" s="209" t="str">
        <x:v>35mm WIDE, 긴 복도와 걸어가는 카인 후면</x:v>
      </x:c>
      <x:c r="I34" s="159" t="str">
        <x:v>카인은 인식표를 목에 걸며 혼자 복도를 걸어간다. 프레임 절반은 비어 있고 대검이 대각선으로 빈 공간을 가른다. 아인과 유진은 넣지 않는다.</x:v>
      </x:c>
      <x:c r="J34" s="159" t="str">
        <x:v>긴 혼잣말은 복도 위쪽에서 시작해 카인의 이동 방향을 따라 내려간다. 마지막 ‘눈으로.’ 뒤 넓은 하단 공백.</x:v>
      </x:c>
      <x:c r="K34" s="159" t="str">
        <x:v>발소리와 인식표의 첫 ‘짤랑’. 아무도 대답하지 않는다.</x:v>
      </x:c>
      <x:c r="L34" s="159" t="str">
        <x:v>냉백 형광이 구간마다 끊긴다. 복도 끝은 어둡지만 위협적 색광은 없다.</x:v>
      </x:c>
      <x:c r="M34" s="159" t="str">
        <x:v>카인이 자신의 힘과 C 판정의 불일치를 계속 투덜대며 나간다.</x:v>
      </x:c>
      <x:c r="N34" s="159" t="str">
        <x:v>그가 던진 ‘대체 뭘 보고 매기는 거야’가 제1부의 중심 미스터리를 정확히 말하고 있었다고 읽힌다.</x:v>
      </x:c>
      <x:c r="O34" s="159" t="str">
        <x:v>황혼에서는 답 없는 질문도 사람을 다음 장면으로 데려간다.</x:v>
      </x:c>
      <x:c r="P34" s="159" t="str">
        <x:v>플레이어가 랭크 숫자를 곧 전투력으로 오해하지 않도록 만드는 튜토리얼 종료 비트.</x:v>
      </x:c>
      <x:c r="Q34" s="159" t="str">
        <x:v>카인 혼자. 빈 공간 절반 유지. 원문 대사 외 응답·반응컷 금지.</x:v>
      </x:c>
      <x:c r="R34" s="159" t="str">
        <x:v>무거운 설정 뒤 생활형 유머로 호흡을 풀되, 질문의 잔향은 긴 공백으로 남긴다.</x:v>
      </x:c>
      <x:c r="S34" s="217" t="str">
        <x:v>LOCKED_v1</x:v>
      </x:c>
    </x:row>
    <x:row r="35" ht="24" customHeight="1">
      <x:c r="A35" s="245" t="str">
        <x:v>TOTAL / ESTIMATED SCROLL</x:v>
      </x:c>
      <x:c r="B35" s="245"/>
      <x:c r="C35" s="245"/>
      <x:c r="D35" s="245"/>
      <x:c r="E35" s="247" t="n">
        <x:f>SUM(E5:E34)</x:f>
        <x:v>13500</x:v>
      </x:c>
      <x:c r="F35" s="247" t="n">
        <x:f>SUM(F5:F34)</x:f>
        <x:v>615</x:v>
      </x:c>
      <x:c r="G35" s="247" t="n">
        <x:f>SUM(G5:G34)</x:f>
        <x:v>1865</x:v>
      </x:c>
      <x:c r="H35" s="247" t="str">
        <x:v>예상 총 세로합</x:v>
      </x:c>
      <x:c r="I35" s="247" t="n">
        <x:f>SUM(E5:G34)</x:f>
        <x:v>15980</x:v>
      </x:c>
      <x:c r="J35" s="246"/>
      <x:c r="K35" s="246"/>
      <x:c r="L35" s="246"/>
      <x:c r="M35" s="246"/>
      <x:c r="N35" s="246"/>
      <x:c r="O35" s="246"/>
      <x:c r="P35" s="246"/>
      <x:c r="Q35" s="246"/>
      <x:c r="R35" s="246"/>
      <x:c r="S35" s="246"/>
    </x:row>
  </x:sheetData>
  <x:mergeCells>
    <x:mergeCell ref="A1:S1"/>
    <x:mergeCell ref="A2:S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4" hidden="0" customWidth="1"/>
    <x:col min="4" max="4" width="14" hidden="0" customWidth="1"/>
    <x:col min="5" max="5" width="13" hidden="0" customWidth="1"/>
    <x:col min="6" max="6" width="13" hidden="0" customWidth="1"/>
    <x:col min="7" max="7" width="14" hidden="0" customWidth="1"/>
    <x:col min="8" max="8" width="24" hidden="0" customWidth="1"/>
    <x:col min="9" max="9" width="48" hidden="0" customWidth="1"/>
    <x:col min="10" max="10" width="42" hidden="0" customWidth="1"/>
    <x:col min="11" max="11" width="28" hidden="0" customWidth="1"/>
    <x:col min="12" max="12" width="30" hidden="0" customWidth="1"/>
    <x:col min="13" max="13" width="34" hidden="0" customWidth="1"/>
    <x:col min="14" max="14" width="36" hidden="0" customWidth="1"/>
    <x:col min="15" max="15" width="36" hidden="0" customWidth="1"/>
    <x:col min="16" max="16" width="38" hidden="0" customWidth="1"/>
    <x:col min="17" max="17" width="42" hidden="0" customWidth="1"/>
    <x:col min="18" max="18" width="34" hidden="0" customWidth="1"/>
    <x:col min="19" max="19" width="14" hidden="0" customWidth="1"/>
  </x:cols>
  <x:sheetData>
    <x:row r="1" ht="30" customHeight="1">
      <x:c r="A1" t="str">
        <x:v>EP01 CUT111–136 — 실제 연재 구현 v1.0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</x:row>
    <x:row r="2" ht="28" customHeight="1">
      <x:c r="A2" t="str">
        <x:v>빈 평가소 → 수기 각인 평가 대장 → 일곱 권의 노트 → 반복되는 다음 사람 → 이름과 빈칸 → 등급의 정체 질문. 원본 26컷 유지 / 원본 패널 높이 11,580px / 계획 여백 2,545px / 예상 세로합 14,125px.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</x:row>
    <x:row r="3" ht="8" customHeight="1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</x:row>
    <x:row r="4" ht="36" customHeight="1">
      <x:c r="A4" s="266" t="str">
        <x:v>CUT_ID</x:v>
      </x:c>
      <x:c r="B4" s="266" t="str">
        <x:v>BEAT</x:v>
      </x:c>
      <x:c r="C4" s="266" t="str">
        <x:v>PANEL_ROLE</x:v>
      </x:c>
      <x:c r="D4" s="266" t="str">
        <x:v>WIDTH_CLASS</x:v>
      </x:c>
      <x:c r="E4" s="266" t="str">
        <x:v>SOURCE_HEIGHT_PX</x:v>
      </x:c>
      <x:c r="F4" s="266" t="str">
        <x:v>TOP_GUTTER_PX</x:v>
      </x:c>
      <x:c r="G4" s="266" t="str">
        <x:v>BOTTOM_GUTTER_PX</x:v>
      </x:c>
      <x:c r="H4" s="266" t="str">
        <x:v>CAMERA</x:v>
      </x:c>
      <x:c r="I4" s="266" t="str">
        <x:v>ACTION_COMPOSITION</x:v>
      </x:c>
      <x:c r="J4" s="266" t="str">
        <x:v>TEXT_LAYOUT</x:v>
      </x:c>
      <x:c r="K4" s="266" t="str">
        <x:v>SFX_AUDIO</x:v>
      </x:c>
      <x:c r="L4" s="266" t="str">
        <x:v>COLOR_LIGHT</x:v>
      </x:c>
      <x:c r="M4" s="266" t="str">
        <x:v>FIRST_READ</x:v>
      </x:c>
      <x:c r="N4" s="266" t="str">
        <x:v>THIRD_READ</x:v>
      </x:c>
      <x:c r="O4" s="266" t="str">
        <x:v>FIFTH_READ</x:v>
      </x:c>
      <x:c r="P4" s="266" t="str">
        <x:v>GAME_ECHO</x:v>
      </x:c>
      <x:c r="Q4" s="266" t="str">
        <x:v>PRODUCTION_LOCK</x:v>
      </x:c>
      <x:c r="R4" s="266" t="str">
        <x:v>BENCHMARK_BALANCE</x:v>
      </x:c>
      <x:c r="S4" s="266" t="str">
        <x:v>STATUS</x:v>
      </x:c>
    </x:row>
    <x:row r="5" ht="88" customHeight="1">
      <x:c r="A5" s="159" t="str">
        <x:v>111</x:v>
      </x:c>
      <x:c r="B5" s="159" t="str">
        <x:v>P. 남겨진 장부</x:v>
      </x:c>
      <x:c r="C5" s="159" t="str">
        <x:v>질문이 빠져나간 뒤의 방</x:v>
      </x:c>
      <x:c r="D5" s="159" t="str">
        <x:v>86%</x:v>
      </x:c>
      <x:c r="E5" s="159" t="n">
        <x:v>430</x:v>
      </x:c>
      <x:c r="F5" s="159" t="n">
        <x:v>120</x:v>
      </x:c>
      <x:c r="G5" s="159" t="n">
        <x:v>60</x:v>
      </x:c>
      <x:c r="H5" s="159" t="str">
        <x:v>24mm WIDE, 출입문 쪽에서 평가소 전체를 다시 보는 고정 숏</x:v>
      </x:c>
      <x:c r="I5" s="159" t="str">
        <x:v>카인이 빠져나간 복도 쪽 문은 화면 왼쪽 끝에 반쯤 열려 있고, 발판·콘솔·번호판은 그대로 남아 있다. 사람의 퇴장보다 장치가 계속 켜져 있다는 사실이 먼저 읽히게 한다.</x:v>
      </x:c>
      <x:c r="J5" s="159" t="str">
        <x:v>텍스트 없음. 직전 컷의 ‘대체 뭘 보고 매기는 거야’가 화면 밖에서 잔향처럼 남도록 상단을 비운다.</x:v>
      </x:c>
      <x:c r="K5" s="159" t="str">
        <x:v>복도에서 멀어지는 마지막 발소리와 인식표 ‘짤랑’이 한 번. 이후 형광등의 낮은 ‘지—’.</x:v>
      </x:c>
      <x:c r="L5" s="159" t="str">
        <x:v>무채도 냉백. 빈 발판만 조금 밝고, 엠버 발광은 완전히 사라진다.</x:v>
      </x:c>
      <x:c r="M5" s="159" t="str">
        <x:v>아인과 카인이 나간 뒤에도 평가 절차는 끝나지 않았음을 본다.</x:v>
      </x:c>
      <x:c r="N5" s="159" t="str">
        <x:v>두 사람의 사건이 특별한 예외가 아니라, 오래 반복된 제도 속 한 줄이었다고 다시 읽힌다.</x:v>
      </x:c>
      <x:c r="O5" s="159" t="str">
        <x:v>사람이 떠난 뒤에도 제도는 같은 자리에서 계속 작동한다.</x:v>
      </x:c>
      <x:c r="P5" s="159" t="str">
        <x:v>플레이어가 떠난 뒤에도 허브 NPC와 기록 시스템이 지속된다는 세계의 독립성.</x:v>
      </x:c>
      <x:c r="Q5" s="159" t="str">
        <x:v>빈 방을 공포 영화처럼 만들지 않는다. 경고등·붉은 화면·정체불명 실루엣 금지.</x:v>
      </x:c>
      <x:c r="R5" s="159" t="str">
        <x:v>큰 광경 대신 반복되는 공간의 정적을 사용해 질문의 잔향을 유지한다.</x:v>
      </x:c>
      <x:c r="S5" s="159" t="str">
        <x:v>LOCKED_v1</x:v>
      </x:c>
    </x:row>
    <x:row r="6" ht="88" customHeight="1">
      <x:c r="A6" s="159" t="str">
        <x:v>112</x:v>
      </x:c>
      <x:c r="B6" s="159" t="str">
        <x:v>P. 남겨진 장부</x:v>
      </x:c>
      <x:c r="C6" s="159" t="str">
        <x:v>보이지 않던 두 번째 절차</x:v>
      </x:c>
      <x:c r="D6" s="159" t="str">
        <x:v>64%</x:v>
      </x:c>
      <x:c r="E6" s="159" t="n">
        <x:v>400</x:v>
      </x:c>
      <x:c r="F6" s="159" t="n">
        <x:v>20</x:v>
      </x:c>
      <x:c r="G6" s="159" t="n">
        <x:v>15</x:v>
      </x:c>
      <x:c r="H6" s="159" t="str">
        <x:v>50mm MS, 유진의 상체와 콘솔 아래 서랍을 함께</x:v>
      </x:c>
      <x:c r="I6" s="159" t="str">
        <x:v>유진은 두 사람이 나간 방향을 보지 않은 채 몸을 조금 숙여 콘솔 아래 손잡이를 잡는다. 한 손은 태블릿 옆에 남겨 업무가 끊기지 않은 느낌을 준다.</x:v>
      </x:c>
      <x:c r="J6" s="159" t="str">
        <x:v>텍스트 없음.</x:v>
      </x:c>
      <x:c r="K6" s="159" t="str">
        <x:v>낡은 레일이 긁히는 ‘드르륵’. 형광등 소리는 그대로.</x:v>
      </x:c>
      <x:c r="L6" s="159" t="str">
        <x:v>냉백. 서랍 안쪽은 빛이 덜 닿아 회색에 가깝고 별도의 신비한 광원은 없다.</x:v>
      </x:c>
      <x:c r="M6" s="159" t="str">
        <x:v>평가가 끝난 뒤 유진이 별도의 서랍을 연다는 사실을 본다.</x:v>
      </x:c>
      <x:c r="N6" s="159" t="str">
        <x:v>공식 디지털 기록과 별개로 그녀가 지키는 개인적 절차가 있었음을 알게 된다.</x:v>
      </x:c>
      <x:c r="O6" s="159" t="str">
        <x:v>중요한 일은 종종 아무도 보고 있지 않을 때 시작된다.</x:v>
      </x:c>
      <x:c r="P6" s="159" t="str">
        <x:v>공식 자동 저장과 NPC 개인 기록을 분리하는 허브 연출의 첫 단서.</x:v>
      </x:c>
      <x:c r="Q6" s="159" t="str">
        <x:v>유진이 카인을 흘겨보거나 의미심장하게 웃지 않는다. 행동은 너무 익숙해야 한다.</x:v>
      </x:c>
      <x:c r="R6" s="159" t="str">
        <x:v>미스터리는 표정이 아니라 일상적인 손동작의 반복에서 만든다.</x:v>
      </x:c>
      <x:c r="S6" s="159" t="str">
        <x:v>LOCKED_v1</x:v>
      </x:c>
    </x:row>
    <x:row r="7" ht="88" customHeight="1">
      <x:c r="A7" s="159" t="str">
        <x:v>113</x:v>
      </x:c>
      <x:c r="B7" s="159" t="str">
        <x:v>P. 남겨진 장부</x:v>
      </x:c>
      <x:c r="C7" s="159" t="str">
        <x:v>낡은 이름의 표지</x:v>
      </x:c>
      <x:c r="D7" s="159" t="str">
        <x:v>58%</x:v>
      </x:c>
      <x:c r="E7" s="159" t="n">
        <x:v>400</x:v>
      </x:c>
      <x:c r="F7" s="159" t="n">
        <x:v>15</x:v>
      </x:c>
      <x:c r="G7" s="159" t="n">
        <x:v>40</x:v>
      </x:c>
      <x:c r="H7" s="159" t="str">
        <x:v>90mm ECU, 서랍에서 꺼낸 노트 표지 정면</x:v>
      </x:c>
      <x:c r="I7" s="159" t="str">
        <x:v>모서리가 닳고 여러 번 접힌 대학 노트가 화면 대부분을 차지한다. 볼펜 손글씨 ‘각인 평가 대장’은 반듯하지 않고, 오랫동안 같은 사람이 써 온 글씨로 보이게 한다.</x:v>
      </x:c>
      <x:c r="J7" s="159" t="str">
        <x:v>제목은 소품에 실제로 적힌 글씨만 사용한다. 별도 설명 자막 금지.</x:v>
      </x:c>
      <x:c r="K7" s="159" t="str">
        <x:v>종이 표지가 손가락에 스치는 마른 소리.</x:v>
      </x:c>
      <x:c r="L7" s="159" t="str">
        <x:v>누렇게 바랜 종이와 회색 콘솔. 엠버·청록 강조 없음.</x:v>
      </x:c>
      <x:c r="M7" s="159" t="str">
        <x:v>유진이 시스템 밖에 종이 평가 대장을 따로 두고 있음을 안다.</x:v>
      </x:c>
      <x:c r="N7" s="159" t="str">
        <x:v>디지털 기록이 지워지거나 왜곡될 가능성, 혹은 이름을 사람의 손으로 남기려는 행위 중 어느 쪽인지 열어 둔다.</x:v>
      </x:c>
      <x:c r="O7" s="159" t="str">
        <x:v>황혼에서 기록은 정보가 아니라 누군가를 잊지 않겠다는 물리적 행동이 될 수 있다.</x:v>
      </x:c>
      <x:c r="P7" s="159" t="str">
        <x:v>게임의 로어 기록이 자동 로그만이 아니라 NPC가 남긴 물건으로 존재하도록 하는 기준.</x:v>
      </x:c>
      <x:c r="Q7" s="159" t="str">
        <x:v>노트에 후광·비밀 문서 스탬프·잠금 문양을 붙이지 않는다. 왜 쓰는지 설명하지 않는다.</x:v>
      </x:c>
      <x:c r="R7" s="159" t="str">
        <x:v>소품 하나를 영웅화하지 않고, 닳은 재질과 손글씨로 시간의 무게를 준다.</x:v>
      </x:c>
      <x:c r="S7" s="159" t="str">
        <x:v>LOCKED_v1</x:v>
      </x:c>
    </x:row>
    <x:row r="8" ht="88" customHeight="1">
      <x:c r="A8" s="159" t="str">
        <x:v>114</x:v>
      </x:c>
      <x:c r="B8" s="159" t="str">
        <x:v>P. 남겨진 장부</x:v>
      </x:c>
      <x:c r="C8" s="159" t="str">
        <x:v>숫자를 손으로 다시 쓰다</x:v>
      </x:c>
      <x:c r="D8" s="159" t="str">
        <x:v>72%</x:v>
      </x:c>
      <x:c r="E8" s="159" t="n">
        <x:v>400</x:v>
      </x:c>
      <x:c r="F8" s="159" t="n">
        <x:v>20</x:v>
      </x:c>
      <x:c r="G8" s="159" t="n">
        <x:v>15</x:v>
      </x:c>
      <x:c r="H8" s="159" t="str">
        <x:v>50mm MS 오버숄더, 홀로그램 수치와 종이 노트를 한 프레임에</x:v>
      </x:c>
      <x:c r="I8" s="159" t="str">
        <x:v>앞쪽에는 종이와 펜, 뒤쪽에는 이미 저장된 수치가 흐릿하게 보인다. 유진은 화면을 한 번 보고 한 줄씩 옮겨 적는다. 화면 글자는 읽을 수 없을 정도로만 남긴다.</x:v>
      </x:c>
      <x:c r="J8" s="159" t="str">
        <x:v>텍스트 없음.</x:v>
      </x:c>
      <x:c r="K8" s="159" t="str">
        <x:v>펜촉의 ‘사각… 사각…’. 기계음은 낮게 뒤로 물린다.</x:v>
      </x:c>
      <x:c r="L8" s="159" t="str">
        <x:v>냉백 화면과 누런 종이의 온도 차이만 사용한다. 홀로그램은 청록이 아니라 무채도 백색.</x:v>
      </x:c>
      <x:c r="M8" s="159" t="str">
        <x:v>이미 저장된 정보를 유진이 손으로 다시 적는 이상한 습관을 본다.</x:v>
      </x:c>
      <x:c r="N8" s="159" t="str">
        <x:v>그녀가 데이터를 복제하는지, 이름을 보존하는지, 시스템을 믿지 않는지는 하나로 확정되지 않는다.</x:v>
      </x:c>
      <x:c r="O8" s="159" t="str">
        <x:v>같은 사실도 기계가 저장하는 것과 사람이 기억하는 것은 다르다.</x:v>
      </x:c>
      <x:c r="P8" s="159" t="str">
        <x:v>자동 저장과 수기 아카이브가 다른 의미를 갖는 세계 내 기록 설계.</x:v>
      </x:c>
      <x:c r="Q8" s="159" t="str">
        <x:v>🤫 유지. 독백·과거 회상·‘시스템을 못 믿어서’ 같은 해설 금지.</x:v>
      </x:c>
      <x:c r="R8" s="159" t="str">
        <x:v>정적인 손동작을 액션의 정밀도처럼 보여, 인물의 의지를 설명 없이 만든다.</x:v>
      </x:c>
      <x:c r="S8" s="159" t="str">
        <x:v>LOCKED_v1</x:v>
      </x:c>
    </x:row>
    <x:row r="9" ht="88" customHeight="1">
      <x:c r="A9" s="159" t="str">
        <x:v>115</x:v>
      </x:c>
      <x:c r="B9" s="159" t="str">
        <x:v>P. 남겨진 장부</x:v>
      </x:c>
      <x:c r="C9" s="159" t="str">
        <x:v>사람을 이루는 세 칸</x:v>
      </x:c>
      <x:c r="D9" s="159" t="str">
        <x:v>54%</x:v>
      </x:c>
      <x:c r="E9" s="159" t="n">
        <x:v>380</x:v>
      </x:c>
      <x:c r="F9" s="159" t="n">
        <x:v>10</x:v>
      </x:c>
      <x:c r="G9" s="159" t="n">
        <x:v>10</x:v>
      </x:c>
      <x:c r="H9" s="159" t="str">
        <x:v>100mm ECU, 펜촉과 한 줄의 칸</x:v>
      </x:c>
      <x:c r="I9" s="159" t="str">
        <x:v>펜이 날짜, 이름, 등급 순서로 움직인다. 칸선은 자로 그은 듯 정확하지 않고 여러 번 덧그은 흔적이 남아 있다.</x:v>
      </x:c>
      <x:c r="J9" s="159" t="str">
        <x:v>소품 글씨 외 텍스트 없음.</x:v>
      </x:c>
      <x:c r="K9" s="159" t="str">
        <x:v>짧은 펜 마찰음 세 번. 각 항목 사이 아주 작은 멈춤.</x:v>
      </x:c>
      <x:c r="L9" s="159" t="str">
        <x:v>종이색과 검은 잉크. 화면 밖 냉백 반사만.</x:v>
      </x:c>
      <x:c r="M9" s="159" t="str">
        <x:v>유진이 날짜·이름·등급을 같은 줄에 기록한다.</x:v>
      </x:c>
      <x:c r="N9" s="159" t="str">
        <x:v>등급만 남기는 시스템과 달리, 그녀의 장부에는 이름과 시간이 함께 남는다는 차이가 보인다.</x:v>
      </x:c>
      <x:c r="O9" s="159" t="str">
        <x:v>숫자는 분류하지만 이름은 한 사람을 한 번뿐인 존재로 만든다.</x:v>
      </x:c>
      <x:c r="P9" s="159" t="str">
        <x:v>캐릭터 상태 기록에 수치뿐 아니라 사건 시점과 이름이 필요하다는 IP 데이터 원칙.</x:v>
      </x:c>
      <x:c r="Q9" s="159" t="str">
        <x:v>등급 칸만 과도하게 크게 그리지 않는다. 이름과 날짜의 시각 비중을 같게 둔다.</x:v>
      </x:c>
      <x:c r="R9" s="159" t="str">
        <x:v>작은 반복 동작으로 ‘기록의 순서’ 자체를 상징화한다.</x:v>
      </x:c>
      <x:c r="S9" s="159" t="str">
        <x:v>LOCKED_v1</x:v>
      </x:c>
    </x:row>
    <x:row r="10" ht="88" customHeight="1">
      <x:c r="A10" s="159" t="str">
        <x:v>116</x:v>
      </x:c>
      <x:c r="B10" s="159" t="str">
        <x:v>P. 남겨진 장부</x:v>
      </x:c>
      <x:c r="C10" s="159" t="str">
        <x:v>아인의 한 줄</x:v>
      </x:c>
      <x:c r="D10" s="159" t="str">
        <x:v>50%</x:v>
      </x:c>
      <x:c r="E10" s="159" t="n">
        <x:v>340</x:v>
      </x:c>
      <x:c r="F10" s="159" t="n">
        <x:v>5</x:v>
      </x:c>
      <x:c r="G10" s="159" t="n">
        <x:v>10</x:v>
      </x:c>
      <x:c r="H10" s="159" t="str">
        <x:v>110mm INSERT, 방금 적힌 줄 수평 정면</x:v>
      </x:c>
      <x:c r="I10" s="159" t="str">
        <x:v>‘아인 / C / 상단’이 한 줄에 적혀 있다. 글씨는 유진의 손글씨이며, C만 인쇄체처럼 완벽하게 쓰지 않는다.</x:v>
      </x:c>
      <x:c r="J10" s="159" t="str">
        <x:v>소품 글씨만. 강조 테두리·색상 없음.</x:v>
      </x:c>
      <x:c r="K10" s="159" t="str">
        <x:v>무음.</x:v>
      </x:c>
      <x:c r="L10" s="159" t="str">
        <x:v>누런 종이, 검은 잉크. 엠버색 사용 금지.</x:v>
      </x:c>
      <x:c r="M10" s="159" t="str">
        <x:v>아인의 이름과 C 상단 판정이 장부에 남는다.</x:v>
      </x:c>
      <x:c r="N10" s="159" t="str">
        <x:v>그녀가 숫자 하나가 아니라 ‘이름을 가진 기록’으로 남았다는 사실이 후반 장면과 연결된다.</x:v>
      </x:c>
      <x:c r="O10" s="159" t="str">
        <x:v>사람은 등급보다 먼저 이름으로 적힌다.</x:v>
      </x:c>
      <x:c r="P10" s="159" t="str">
        <x:v>세이브 데이터에서 캐릭터의 상태와 개인 서사를 함께 보존하는 설계 철학.</x:v>
      </x:c>
      <x:c r="Q10" s="159" t="str">
        <x:v>‘상단’을 경험치 게이지처럼 표현하지 않는다. 실제 손글씨 한 줄로만 처리.</x:v>
      </x:c>
      <x:c r="R10" s="159" t="str">
        <x:v>정보 컷이지만 화면을 차갑게 소비하지 않고 손글씨의 불균일함을 남긴다.</x:v>
      </x:c>
      <x:c r="S10" s="159" t="str">
        <x:v>LOCKED_v1</x:v>
      </x:c>
    </x:row>
    <x:row r="11" ht="88" customHeight="1">
      <x:c r="A11" s="159" t="str">
        <x:v>117</x:v>
      </x:c>
      <x:c r="B11" s="159" t="str">
        <x:v>P. 남겨진 장부</x:v>
      </x:c>
      <x:c r="C11" s="159" t="str">
        <x:v>카인의 한 줄</x:v>
      </x:c>
      <x:c r="D11" s="159" t="str">
        <x:v>50%</x:v>
      </x:c>
      <x:c r="E11" s="159" t="n">
        <x:v>340</x:v>
      </x:c>
      <x:c r="F11" s="159" t="n">
        <x:v>5</x:v>
      </x:c>
      <x:c r="G11" s="159" t="n">
        <x:v>25</x:v>
      </x:c>
      <x:c r="H11" s="159" t="str">
        <x:v>110mm INSERT, 다음 줄로 한 칸 내려간 동일 구도</x:v>
      </x:c>
      <x:c r="I11" s="159" t="str">
        <x:v>바로 아래에 ‘카인 / C’가 적힌다. 아인의 ‘상단’과 달리 부가 메모가 없고, 두 줄의 빈칸 배치 차이가 보이게 한다.</x:v>
      </x:c>
      <x:c r="J11" s="159" t="str">
        <x:v>소품 글씨만.</x:v>
      </x:c>
      <x:c r="K11" s="159" t="str">
        <x:v>펜 끝이 종이에서 떨어지는 작은 소리.</x:v>
      </x:c>
      <x:c r="L11" s="159" t="str">
        <x:v>동일한 종이와 잉크.</x:v>
      </x:c>
      <x:c r="M11" s="159" t="str">
        <x:v>카인도 같은 장부에 C로 기록된다.</x:v>
      </x:c>
      <x:c r="N11" s="159" t="str">
        <x:v>같은 등급이 두 사람의 힘과 역할을 전혀 설명하지 못한다는 불일치가 종이 위에서도 반복된다.</x:v>
      </x:c>
      <x:c r="O11" s="159" t="str">
        <x:v>같은 한 글자가 같은 사람을 뜻하지 않는다.</x:v>
      </x:c>
      <x:c r="P11" s="159" t="str">
        <x:v>공통 랭크 안에서도 완전히 다른 조작 캐릭터가 존재한다는 원칙.</x:v>
      </x:c>
      <x:c r="Q11" s="159" t="str">
        <x:v>CUT116과 같은 확대율·기울기 유지. 두 이름 사이 장식선 금지.</x:v>
      </x:c>
      <x:c r="R11" s="159" t="str">
        <x:v>반복 구도로 제도의 획일성과 인물의 차이를 동시에 보여준다.</x:v>
      </x:c>
      <x:c r="S11" s="159" t="str">
        <x:v>LOCKED_v1</x:v>
      </x:c>
    </x:row>
    <x:row r="12" ht="88" customHeight="1">
      <x:c r="A12" s="159" t="str">
        <x:v>118</x:v>
      </x:c>
      <x:c r="B12" s="159" t="str">
        <x:v>P. 남겨진 장부</x:v>
      </x:c>
      <x:c r="C12" s="159" t="str">
        <x:v>멈춘 펜이 남긴 여백</x:v>
      </x:c>
      <x:c r="D12" s="159" t="str">
        <x:v>58%</x:v>
      </x:c>
      <x:c r="E12" s="159" t="n">
        <x:v>400</x:v>
      </x:c>
      <x:c r="F12" s="159" t="n">
        <x:v>10</x:v>
      </x:c>
      <x:c r="G12" s="159" t="n">
        <x:v>100</x:v>
      </x:c>
      <x:c r="H12" s="159" t="str">
        <x:v>120mm ECU, 줄 오른쪽 여백과 펜촉</x:v>
      </x:c>
      <x:c r="I12" s="159" t="str">
        <x:v>펜이 완전히 멈춘 뒤, 본문 칸이 아닌 가장자리 여백에 아주 작게 ‘2년 무등록’이라고 덧붙인다. 글씨는 독자가 확대하지 않아도 읽히되 중심을 차지하지 않는다.</x:v>
      </x:c>
      <x:c r="J12" s="159" t="str">
        <x:v>소품 글씨만. 별도 나레이션·말풍선 금지.</x:v>
      </x:c>
      <x:c r="K12" s="159" t="str">
        <x:v>펜이 멈춘 동안 무음. 다시 종이에 닿는 ‘사각’ 한 번.</x:v>
      </x:c>
      <x:c r="L12" s="159" t="str">
        <x:v>종이와 잉크만. 붉은 밑줄·경고색 금지.</x:v>
      </x:c>
      <x:c r="M12" s="159" t="str">
        <x:v>유진이 아인의 2년 무등록을 평범한 수치와 다른 메모로 남긴다.</x:v>
      </x:c>
      <x:c r="N12" s="159" t="str">
        <x:v>그녀가 그 기간을 단순 행정 오류보다 중요한 인간의 선택으로 보았을 가능성이 생긴다. 정확한 의도는 닫지 않는다.</x:v>
      </x:c>
      <x:c r="O12" s="159" t="str">
        <x:v>사람이 오래 버틴 방식은 정규 칸 밖의 여백에 남기도 한다.</x:v>
      </x:c>
      <x:c r="P12" s="159" t="str">
        <x:v>예외 상태를 오류 팝업이 아니라 NPC의 수기 주석으로 기록하는 세계 내 데이터 문법.</x:v>
      </x:c>
      <x:c r="Q12" s="159" t="str">
        <x:v>⭐🤫 유지. 펜 멈춤이 먼저, 메모가 나중. 유진의 생각을 자막으로 설명하지 않는다.</x:v>
      </x:c>
      <x:c r="R12" s="159" t="str">
        <x:v>정적을 공격 직전의 반 박자처럼 사용해 작은 글씨에 무게를 준다.</x:v>
      </x:c>
      <x:c r="S12" s="159" t="str">
        <x:v>LOCKED_v1</x:v>
      </x:c>
    </x:row>
    <x:row r="13" ht="88" customHeight="1">
      <x:c r="A13" s="159" t="str">
        <x:v>119</x:v>
      </x:c>
      <x:c r="B13" s="159" t="str">
        <x:v>P. 남겨진 장부</x:v>
      </x:c>
      <x:c r="C13" s="159" t="str">
        <x:v>한 번 닫힌 기록</x:v>
      </x:c>
      <x:c r="D13" s="159" t="str">
        <x:v>64%</x:v>
      </x:c>
      <x:c r="E13" s="159" t="n">
        <x:v>400</x:v>
      </x:c>
      <x:c r="F13" s="159" t="n">
        <x:v>20</x:v>
      </x:c>
      <x:c r="G13" s="159" t="n">
        <x:v>20</x:v>
      </x:c>
      <x:c r="H13" s="159" t="str">
        <x:v>55mm MS, 유진 손과 노트 중심</x:v>
      </x:c>
      <x:c r="I13" s="159" t="str">
        <x:v>유진은 마지막 줄을 한 번 확인하지 않고 바로 노트를 덮는다. 습관처럼 정확한 동작이며, 표지를 쓰다듬거나 머뭇거리지 않는다.</x:v>
      </x:c>
      <x:c r="J13" s="159" t="str">
        <x:v>텍스트 없음.</x:v>
      </x:c>
      <x:c r="K13" s="159" t="str">
        <x:v>종이 덮이는 낮은 ‘툭’.</x:v>
      </x:c>
      <x:c r="L13" s="159" t="str">
        <x:v>냉백이 표지 위로 평평하게 떨어진다.</x:v>
      </x:c>
      <x:c r="M13" s="159" t="str">
        <x:v>기록을 끝낸 유진이 노트를 덮는다.</x:v>
      </x:c>
      <x:c r="N13" s="159" t="str">
        <x:v>감상이나 추모 의식이 아니라 매번 수행하는 생활 절차였다는 점이 선명해진다.</x:v>
      </x:c>
      <x:c r="O13" s="159" t="str">
        <x:v>책임은 거창한 감정 표현보다 반복 가능한 습관으로 남는다.</x:v>
      </x:c>
      <x:c r="P13" s="159" t="str">
        <x:v>허브 NPC의 기록 완료 애니메이션 기준. 과한 컷신 감정 연출을 피한다.</x:v>
      </x:c>
      <x:c r="Q13" s="159" t="str">
        <x:v>유진이 노트를 가슴에 안거나 슬픈 표정을 짓지 않는다.</x:v>
      </x:c>
      <x:c r="R13" s="159" t="str">
        <x:v>절제된 마침 동작으로 장면의 감정을 독자에게 넘긴다.</x:v>
      </x:c>
      <x:c r="S13" s="159" t="str">
        <x:v>LOCKED_v1</x:v>
      </x:c>
    </x:row>
    <x:row r="14" ht="88" customHeight="1">
      <x:c r="A14" s="159" t="str">
        <x:v>120</x:v>
      </x:c>
      <x:c r="B14" s="159" t="str">
        <x:v>P. 남겨진 장부</x:v>
      </x:c>
      <x:c r="C14" s="159" t="str">
        <x:v>일곱 권의 시간</x:v>
      </x:c>
      <x:c r="D14" s="159" t="str">
        <x:v>78%</x:v>
      </x:c>
      <x:c r="E14" s="159" t="n">
        <x:v>470</x:v>
      </x:c>
      <x:c r="F14" s="159" t="n">
        <x:v>15</x:v>
      </x:c>
      <x:c r="G14" s="159" t="n">
        <x:v>120</x:v>
      </x:c>
      <x:c r="H14" s="159" t="str">
        <x:v>35mm TOP DOWN, 열린 서랍 전체</x:v>
      </x:c>
      <x:c r="I14" s="159" t="str">
        <x:v>같은 크기의 낡은 노트가 서랍 안에 정확히 일곱 권 쌓여 있고, 방금 덮은 노트가 맨 위에 놓인다. 권수는 셀 수 있지만 숫자를 강조하는 배열은 피한다.</x:v>
      </x:c>
      <x:c r="J14" s="159" t="str">
        <x:v>텍스트 없음.</x:v>
      </x:c>
      <x:c r="K14" s="159" t="str">
        <x:v>노트가 다른 표지 위에 닿는 마른 소리.</x:v>
      </x:c>
      <x:c r="L14" s="159" t="str">
        <x:v>서랍 안은 저채도 갈색과 회색. 광원은 위쪽 형광등 하나뿐.</x:v>
      </x:c>
      <x:c r="M14" s="159" t="str">
        <x:v>유진의 수기 기록이 오늘 처음 시작된 일이 아니라는 사실을 본다.</x:v>
      </x:c>
      <x:c r="N14" s="159" t="str">
        <x:v>수많은 평가가 쌓인 시간, 혹은 시스템 밖에 보존하려 한 역사가 있었음을 느낀다. 왜 시작했는지는 공식 답을 약속하지 않는다.</x:v>
      </x:c>
      <x:c r="O14" s="159" t="str">
        <x:v>세계는 주인공이 등장하기 전부터 사람들의 손으로 버텨 왔다.</x:v>
      </x:c>
      <x:c r="P14" s="159" t="str">
        <x:v>게임의 기록실·도감이 처음부터 존재해 온 생활 자산처럼 느껴지게 하는 시각 기준.</x:v>
      </x:c>
      <x:c r="Q14" s="159" t="str">
        <x:v>🔒 구도 회수용. 원작의 일곱 권을 유지하되 숫자 자막·줌인 금지. 유진의 이유는 설명하지 않는다.</x:v>
      </x:c>
      <x:c r="R14" s="159" t="str">
        <x:v>수량을 숨은 발견으로 남겨 재독과 팬 추측의 여지를 만든다.</x:v>
      </x:c>
      <x:c r="S14" s="159" t="str">
        <x:v>LOCKED_v1</x:v>
      </x:c>
    </x:row>
    <x:row r="15" ht="88" customHeight="1">
      <x:c r="A15" s="159" t="str">
        <x:v>121</x:v>
      </x:c>
      <x:c r="B15" s="159" t="str">
        <x:v>Q. 닫히는 서랍</x:v>
      </x:c>
      <x:c r="C15" s="159" t="str">
        <x:v>표정 대신 남은 시간</x:v>
      </x:c>
      <x:c r="D15" s="159" t="str">
        <x:v>62%</x:v>
      </x:c>
      <x:c r="E15" s="159" t="n">
        <x:v>400</x:v>
      </x:c>
      <x:c r="F15" s="159" t="n">
        <x:v>30</x:v>
      </x:c>
      <x:c r="G15" s="159" t="n">
        <x:v>70</x:v>
      </x:c>
      <x:c r="H15" s="159" t="str">
        <x:v>85mm CU 정면, 유진 얼굴</x:v>
      </x:c>
      <x:c r="I15" s="159" t="str">
        <x:v>유진은 서랍을 내려다보다 정면으로 시선을 돌린다. 표정 변화는 없고, 눈이 초점을 다시 업무 거리로 맞추는 움직임만 보인다.</x:v>
      </x:c>
      <x:c r="J15" s="159" t="str">
        <x:v>텍스트 없음.</x:v>
      </x:c>
      <x:c r="K15" s="159" t="str">
        <x:v>짧은 들숨. 다른 소리 없음.</x:v>
      </x:c>
      <x:c r="L15" s="159" t="str">
        <x:v>냉백. 얼굴 한쪽을 극적으로 어둡게 가르지 않는다.</x:v>
      </x:c>
      <x:c r="M15" s="159" t="str">
        <x:v>유진이 아무 표정 없이 다음 일을 준비한다.</x:v>
      </x:c>
      <x:c r="N15" s="159" t="str">
        <x:v>무표정이 비밀스러운 냉혹함이 아니라 감정을 매번 접어 두는 사람의 업무 방식으로 읽힌다.</x:v>
      </x:c>
      <x:c r="O15" s="159" t="str">
        <x:v>황혼의 사람들은 느끼지 않는 것이 아니라, 느낀 채 계속 움직인다.</x:v>
      </x:c>
      <x:c r="P15" s="159" t="str">
        <x:v>NPC의 감정은 대사량이 아니라 미세한 시선 복귀와 루틴으로 표현한다.</x:v>
      </x:c>
      <x:c r="Q15" s="159" t="str">
        <x:v>🤫 유지. 눈물·입술 떨림·의미심장한 미소 금지.</x:v>
      </x:c>
      <x:c r="R15" s="159" t="str">
        <x:v>감정 연기는 작게, 독자가 머무는 시간은 길게 둔다.</x:v>
      </x:c>
      <x:c r="S15" s="159" t="str">
        <x:v>LOCKED_v1</x:v>
      </x:c>
    </x:row>
    <x:row r="16" ht="88" customHeight="1">
      <x:c r="A16" s="159" t="str">
        <x:v>122</x:v>
      </x:c>
      <x:c r="B16" s="159" t="str">
        <x:v>Q. 닫히는 서랍</x:v>
      </x:c>
      <x:c r="C16" s="159" t="str">
        <x:v>보이지 않는 곳으로</x:v>
      </x:c>
      <x:c r="D16" s="159" t="str">
        <x:v>56%</x:v>
      </x:c>
      <x:c r="E16" s="159" t="n">
        <x:v>380</x:v>
      </x:c>
      <x:c r="F16" s="159" t="n">
        <x:v>20</x:v>
      </x:c>
      <x:c r="G16" s="159" t="n">
        <x:v>20</x:v>
      </x:c>
      <x:c r="H16" s="159" t="str">
        <x:v>65mm MS, 서랍 손잡이와 유진 손</x:v>
      </x:c>
      <x:c r="I16" s="159" t="str">
        <x:v>유진이 서랍을 밀어 넣는다. 손가락이 손잡이에서 떨어지는 순간까지 보여준다.</x:v>
      </x:c>
      <x:c r="J16" s="159" t="str">
        <x:v>텍스트 없음.</x:v>
      </x:c>
      <x:c r="K16" s="159" t="str">
        <x:v>짧고 단단한 ‘탁’.</x:v>
      </x:c>
      <x:c r="L16" s="159" t="str">
        <x:v>차가운 금속과 저채도 손 피부. 추가 광원 없음.</x:v>
      </x:c>
      <x:c r="M16" s="159" t="str">
        <x:v>장부가 다시 보이지 않는 곳에 들어간다.</x:v>
      </x:c>
      <x:c r="N16" s="159" t="str">
        <x:v>공식 화면에는 남지 않는 기록이 같은 공간 안에 계속 존재한다는 이중성이 보인다.</x:v>
      </x:c>
      <x:c r="O16" s="159" t="str">
        <x:v>기억은 드러나 있지 않아도 사라진 것은 아니다.</x:v>
      </x:c>
      <x:c r="P16" s="159" t="str">
        <x:v>플레이어가 당장 접근할 수 없는 세계 기록도 지속된다는 환경 서사.</x:v>
      </x:c>
      <x:c r="Q16" s="159" t="str">
        <x:v>비밀 금고처럼 무겁게 잠그지 않는다. 평범한 서랍이어야 한다.</x:v>
      </x:c>
      <x:c r="R16" s="159" t="str">
        <x:v>소리 하나로 장면을 닫고 다음 루틴을 연다.</x:v>
      </x:c>
      <x:c r="S16" s="159" t="str">
        <x:v>LOCKED_v1</x:v>
      </x:c>
    </x:row>
    <x:row r="17" ht="88" customHeight="1">
      <x:c r="A17" s="159" t="str">
        <x:v>123</x:v>
      </x:c>
      <x:c r="B17" s="159" t="str">
        <x:v>Q. 닫히는 서랍</x:v>
      </x:c>
      <x:c r="C17" s="159" t="str">
        <x:v>원래 자리로 돌아가다</x:v>
      </x:c>
      <x:c r="D17" s="159" t="str">
        <x:v>76%</x:v>
      </x:c>
      <x:c r="E17" s="159" t="n">
        <x:v>430</x:v>
      </x:c>
      <x:c r="F17" s="159" t="n">
        <x:v>20</x:v>
      </x:c>
      <x:c r="G17" s="159" t="n">
        <x:v>30</x:v>
      </x:c>
      <x:c r="H17" s="159" t="str">
        <x:v>32mm WIDE, CUT111과 같은 축보다 조금 가까운 고정 숏</x:v>
      </x:c>
      <x:c r="I17" s="159" t="str">
        <x:v>유진은 다시 콘솔 의자에 앉고 태블릿을 정면에 둔다. 서랍은 프레임 하단에 보이지만 더 이상 강조하지 않는다.</x:v>
      </x:c>
      <x:c r="J17" s="159" t="str">
        <x:v>텍스트 없음.</x:v>
      </x:c>
      <x:c r="K17" s="159" t="str">
        <x:v>의자 다리가 바닥을 긁는 작은 소리.</x:v>
      </x:c>
      <x:c r="L17" s="159" t="str">
        <x:v>평가소의 균일한 냉백으로 완전히 복귀.</x:v>
      </x:c>
      <x:c r="M17" s="159" t="str">
        <x:v>유진이 아무 일도 없었던 것처럼 업무 자리로 돌아간다.</x:v>
      </x:c>
      <x:c r="N17" s="159" t="str">
        <x:v>장부 작성이 특별 이벤트가 아니라 시스템을 버티게 하는 숨은 일상임을 안다.</x:v>
      </x:c>
      <x:c r="O17" s="159" t="str">
        <x:v>황혼을 지탱하는 것은 영웅적 순간보다 반복되는 복귀다.</x:v>
      </x:c>
      <x:c r="P17" s="159" t="str">
        <x:v>허브 NPC가 상호작용 후 기본 상태로 자연스럽게 복귀하는 연출.</x:v>
      </x:c>
      <x:c r="Q17" s="159" t="str">
        <x:v>장부를 바라보는 시선 반복 금지. 카메라도 서랍을 따라가지 않는다.</x:v>
      </x:c>
      <x:c r="R17" s="159" t="str">
        <x:v>시선의 중심을 다시 콘솔로 옮겨 생활 리듬을 회복한다.</x:v>
      </x:c>
      <x:c r="S17" s="159" t="str">
        <x:v>LOCKED_v1</x:v>
      </x:c>
    </x:row>
    <x:row r="18" ht="88" customHeight="1">
      <x:c r="A18" s="159" t="str">
        <x:v>124</x:v>
      </x:c>
      <x:c r="B18" s="159" t="str">
        <x:v>Q. 닫히는 서랍</x:v>
      </x:c>
      <x:c r="C18" s="159" t="str">
        <x:v>한 사람과 오래된 형광등</x:v>
      </x:c>
      <x:c r="D18" s="159" t="str">
        <x:v>92%</x:v>
      </x:c>
      <x:c r="E18" s="159" t="n">
        <x:v>560</x:v>
      </x:c>
      <x:c r="F18" s="159" t="n">
        <x:v>40</x:v>
      </x:c>
      <x:c r="G18" s="159" t="n">
        <x:v>250</x:v>
      </x:c>
      <x:c r="H18" s="159" t="str">
        <x:v>24mm EWIDE, 방 한쪽 위에서 유진을 작게 두는 정지 숏</x:v>
      </x:c>
      <x:c r="I18" s="159" t="str">
        <x:v>넓은 평가소 안에 유진만 아주 작게 앉아 있다. 발판·대기 의자·번호판·닫힌 서랍이 모두 한 프레임에 들어오며, 빈 공간이 인물보다 훨씬 크다.</x:v>
      </x:c>
      <x:c r="J18" s="159" t="str">
        <x:v>텍스트 없음.</x:v>
      </x:c>
      <x:c r="K18" s="159" t="str">
        <x:v>형광등 ‘지—’만 길게. 다른 생활 소음은 멀어진다.</x:v>
      </x:c>
      <x:c r="L18" s="159" t="str">
        <x:v>무채도 냉백. 공간 끝은 검정이 아니라 회색으로 사라진다.</x:v>
      </x:c>
      <x:c r="M18" s="159" t="str">
        <x:v>차갑고 비어 있는 평가소에서 유진이 혼자 일한다.</x:v>
      </x:c>
      <x:c r="N18" s="159" t="str">
        <x:v>수많은 이름을 적는 일이 누구에게도 보이지 않는 고립된 노동이었다고 느낀다.</x:v>
      </x:c>
      <x:c r="O18" s="159" t="str">
        <x:v>기억을 남기는 사람도 결국 아무도 보지 않는 자리에서 버틴다.</x:v>
      </x:c>
      <x:c r="P18" s="159" t="str">
        <x:v>허브의 비전투 NPC 노동을 세계의 실제 시간으로 느끼게 하는 장면.</x:v>
      </x:c>
      <x:c r="Q18" s="159" t="str">
        <x:v>🎭는 개그가 아니라 인간적 체온의 잔향. 불길한 음악·감시 카메라 시점 금지.</x:v>
      </x:c>
      <x:c r="R18" s="159" t="str">
        <x:v>광마적 폭발 대신 긴 정적, 감정은 인물 크기와 빈 공간으로 전달한다.</x:v>
      </x:c>
      <x:c r="S18" s="159" t="str">
        <x:v>LOCKED_v1</x:v>
      </x:c>
    </x:row>
    <x:row r="19" ht="88" customHeight="1">
      <x:c r="A19" s="159" t="str">
        <x:v>125</x:v>
      </x:c>
      <x:c r="B19" s="159" t="str">
        <x:v>R. 반복되는 절차</x:v>
      </x:c>
      <x:c r="C19" s="159" t="str">
        <x:v>다음 번호</x:v>
      </x:c>
      <x:c r="D19" s="159" t="str">
        <x:v>52%</x:v>
      </x:c>
      <x:c r="E19" s="159" t="n">
        <x:v>360</x:v>
      </x:c>
      <x:c r="F19" s="159" t="n">
        <x:v>40</x:v>
      </x:c>
      <x:c r="G19" s="159" t="n">
        <x:v>20</x:v>
      </x:c>
      <x:c r="H19" s="159" t="str">
        <x:v>100mm INSERT, 벽 번호판 정면</x:v>
      </x:c>
      <x:c r="I19" s="159" t="str">
        <x:v>기계식 또는 낡은 디지털 번호판이 다음 숫자로 넘어간다. 숫자는 읽히되 랭크 색상이나 미래형 애니메이션은 없다.</x:v>
      </x:c>
      <x:c r="J19" s="159" t="str">
        <x:v>소품 숫자만. 나레이션 없음.</x:v>
      </x:c>
      <x:c r="K19" s="159" t="str">
        <x:v>맑지 않은 짧은 ‘딩—’.</x:v>
      </x:c>
      <x:c r="L19" s="159" t="str">
        <x:v>냉백. 번호판 자체 발광은 약하고 주변을 물들이지 않는다.</x:v>
      </x:c>
      <x:c r="M19" s="159" t="str">
        <x:v>다음 평가 대상이 기다리고 있음을 안다.</x:v>
      </x:c>
      <x:c r="N19" s="159" t="str">
        <x:v>아인과 카인의 장면이 끝나도 같은 절차가 즉시 다른 사람에게 반복된다는 사실이 보인다.</x:v>
      </x:c>
      <x:c r="O19" s="159" t="str">
        <x:v>한 사람에게 인생의 전환점인 순간이 제도에는 다음 번호일 뿐이다.</x:v>
      </x:c>
      <x:c r="P19" s="159" t="str">
        <x:v>허브 대기열과 반복 NPC 절차를 다이에제틱하게 표현하는 기준.</x:v>
      </x:c>
      <x:c r="Q19" s="159" t="str">
        <x:v>퀘스트 알림·팝업·레벨업 효과처럼 보이게 하지 않는다.</x:v>
      </x:c>
      <x:c r="R19" s="159" t="str">
        <x:v>짧은 소리 하나로 정적을 끊고 반복 루프를 재가동한다.</x:v>
      </x:c>
      <x:c r="S19" s="159" t="str">
        <x:v>LOCKED_v1</x:v>
      </x:c>
    </x:row>
    <x:row r="20" ht="88" customHeight="1">
      <x:c r="A20" s="159" t="str">
        <x:v>126</x:v>
      </x:c>
      <x:c r="B20" s="159" t="str">
        <x:v>R. 반복되는 절차</x:v>
      </x:c>
      <x:c r="C20" s="159" t="str">
        <x:v>얼굴 없는 다음 사람</x:v>
      </x:c>
      <x:c r="D20" s="159" t="str">
        <x:v>70%</x:v>
      </x:c>
      <x:c r="E20" s="159" t="n">
        <x:v>430</x:v>
      </x:c>
      <x:c r="F20" s="159" t="n">
        <x:v>20</x:v>
      </x:c>
      <x:c r="G20" s="159" t="n">
        <x:v>30</x:v>
      </x:c>
      <x:c r="H20" s="159" t="str">
        <x:v>50mm MS, 열린 문과 들어오는 인물의 가슴 아래</x:v>
      </x:c>
      <x:c r="I20" s="159" t="str">
        <x:v>문이 열리고 낡은 신발과 손, 해진 옷자락이 먼저 들어온다. 얼굴은 프레임 위로 잘라 보이지 않게 하되, 사람을 익명의 실루엣 덩어리로 지우지는 않는다.</x:v>
      </x:c>
      <x:c r="J20" s="159" t="str">
        <x:v>텍스트 없음.</x:v>
      </x:c>
      <x:c r="K20" s="159" t="str">
        <x:v>문 경첩의 짧은 소리와 한두 걸음.</x:v>
      </x:c>
      <x:c r="L20" s="159" t="str">
        <x:v>복도는 조금 어둡고 평가소는 냉백. 인물에게 초자연 발광 없음.</x:v>
      </x:c>
      <x:c r="M20" s="159" t="str">
        <x:v>또 다른 생존자가 평가를 받으러 들어온다.</x:v>
      </x:c>
      <x:c r="N20" s="159" t="str">
        <x:v>이 장부에 적힌 수많은 이름도 모두 이런 낡은 신발과 손을 가진 사람이었음을 상상하게 된다.</x:v>
      </x:c>
      <x:c r="O20" s="159" t="str">
        <x:v>이름을 모를 때도 사람에게는 삶의 흔적이 있다.</x:v>
      </x:c>
      <x:c r="P20" s="159" t="str">
        <x:v>반복되는 NPC를 복제 모델처럼 보이지 않게 의복·자세·손상으로 개별화하는 게임 아트 원칙.</x:v>
      </x:c>
      <x:c r="Q20" s="159" t="str">
        <x:v>🤫 유지. 얼굴 공개·이름 자막·배경 설명 금지.</x:v>
      </x:c>
      <x:c r="R20" s="159" t="str">
        <x:v>익명성과 인간성을 동시에 남겨, 제도의 반복이 인물을 지우지 않게 한다.</x:v>
      </x:c>
      <x:c r="S20" s="159" t="str">
        <x:v>LOCKED_v1</x:v>
      </x:c>
    </x:row>
    <x:row r="21" ht="88" customHeight="1">
      <x:c r="A21" s="159" t="str">
        <x:v>127</x:v>
      </x:c>
      <x:c r="B21" s="159" t="str">
        <x:v>R. 반복되는 절차</x:v>
      </x:c>
      <x:c r="C21" s="159" t="str">
        <x:v>같은 말, 다른 사람</x:v>
      </x:c>
      <x:c r="D21" s="159" t="str">
        <x:v>62%</x:v>
      </x:c>
      <x:c r="E21" s="159" t="n">
        <x:v>400</x:v>
      </x:c>
      <x:c r="F21" s="159" t="n">
        <x:v>20</x:v>
      </x:c>
      <x:c r="G21" s="159" t="n">
        <x:v>100</x:v>
      </x:c>
      <x:c r="H21" s="159" t="str">
        <x:v>65mm CU, 유진과 태블릿 — CUT091과 거의 같은 구도</x:v>
      </x:c>
      <x:c r="I21" s="159" t="str">
        <x:v>유진은 새 사람을 오래 보지 않고 태블릿으로 시선을 내린다. 자세와 손 위치는 아인에게 했던 때와 거의 같다.</x:v>
      </x:c>
      <x:c r="J21" s="159" t="str">
        <x:v>‘…발판 위로.’를 CUT091과 같은 말풍선 위치·크기로 반복한다.</x:v>
      </x:c>
      <x:c r="K21" s="159" t="str">
        <x:v>말 뒤 무음.</x:v>
      </x:c>
      <x:c r="L21" s="159" t="str">
        <x:v>동일 냉백. 색 변화 없음.</x:v>
      </x:c>
      <x:c r="M21" s="159" t="str">
        <x:v>새 사람도 같은 평가 절차를 시작한다.</x:v>
      </x:c>
      <x:c r="N21" s="159" t="str">
        <x:v>아인에게 특별하게 들렸던 문장이 유진에게는 수없이 반복한 문장임을 안다.</x:v>
      </x:c>
      <x:c r="O21" s="159" t="str">
        <x:v>같은 말도 듣는 사람에게는 한 번뿐인 순간이다.</x:v>
      </x:c>
      <x:c r="P21" s="159" t="str">
        <x:v>반복 상호작용 대사를 세계관적 루틴으로 정당화하되 NPC를 기계처럼 연출하지 않는다.</x:v>
      </x:c>
      <x:c r="Q21" s="159" t="str">
        <x:v>CUT091 동일 구도 회수. 비웃음·피로한 한숨 추가 금지.</x:v>
      </x:c>
      <x:c r="R21" s="159" t="str">
        <x:v>반복을 의도적으로 보여 독자가 제도의 리듬을 몸으로 익히게 한다.</x:v>
      </x:c>
      <x:c r="S21" s="159" t="str">
        <x:v>LOCKED_v1</x:v>
      </x:c>
    </x:row>
    <x:row r="22" ht="88" customHeight="1">
      <x:c r="A22" s="159" t="str">
        <x:v>128</x:v>
      </x:c>
      <x:c r="B22" s="159" t="str">
        <x:v>R. 반복되는 절차</x:v>
      </x:c>
      <x:c r="C22" s="159" t="str">
        <x:v>사람만 바뀐 같은 프레임</x:v>
      </x:c>
      <x:c r="D22" s="159" t="str">
        <x:v>82%</x:v>
      </x:c>
      <x:c r="E22" s="159" t="n">
        <x:v>430</x:v>
      </x:c>
      <x:c r="F22" s="159" t="n">
        <x:v>30</x:v>
      </x:c>
      <x:c r="G22" s="159" t="n">
        <x:v>20</x:v>
      </x:c>
      <x:c r="H22" s="159" t="str">
        <x:v>32mm WIDE, CUT093의 발판 진입과 동일 축</x:v>
      </x:c>
      <x:c r="I22" s="159" t="str">
        <x:v>발판과 콘솔의 위치는 이전과 완전히 같고, 올라서는 사람의 체격·옷·자세만 다르다. 유진은 오른쪽 배경에서 동일한 업무 자세를 유지한다.</x:v>
      </x:c>
      <x:c r="J22" s="159" t="str">
        <x:v>텍스트 없음.</x:v>
      </x:c>
      <x:c r="K22" s="159" t="str">
        <x:v>부츠가 금속판에 닿는 소리.</x:v>
      </x:c>
      <x:c r="L22" s="159" t="str">
        <x:v>동일 냉백. 인물 고유색은 바랜 생활색만 허용.</x:v>
      </x:c>
      <x:c r="M22" s="159" t="str">
        <x:v>평가 장면이 반복된다.</x:v>
      </x:c>
      <x:c r="N22" s="159" t="str">
        <x:v>제도는 매번 같은 틀을 제공하지만 그 안에 서는 사람은 하나씩 다르다는 사실이 보인다.</x:v>
      </x:c>
      <x:c r="O22" s="159" t="str">
        <x:v>반복되는 구조 속에서도 사람은 교체 가능한 부품이 아니다.</x:v>
      </x:c>
      <x:c r="P22" s="159" t="str">
        <x:v>튜토리얼 후 반복 상호작용에서 공간은 고정하고 캐릭터 상태만 달라지게 하는 연출 규칙.</x:v>
      </x:c>
      <x:c r="Q22" s="159" t="str">
        <x:v>‘복제 NPC’처럼 같은 체형·옷을 쓰지 않는다. 카메라 축은 CUT093과 맞춘다.</x:v>
      </x:c>
      <x:c r="R22" s="159" t="str">
        <x:v>공간 가독성은 유지하고 인간의 차이는 실루엣과 자세로 만든다.</x:v>
      </x:c>
      <x:c r="S22" s="159" t="str">
        <x:v>LOCKED_v1</x:v>
      </x:c>
    </x:row>
    <x:row r="23" ht="88" customHeight="1">
      <x:c r="A23" s="159" t="str">
        <x:v>129</x:v>
      </x:c>
      <x:c r="B23" s="159" t="str">
        <x:v>R. 반복되는 절차</x:v>
      </x:c>
      <x:c r="C23" s="159" t="str">
        <x:v>또 한 번 올라가는 빛</x:v>
      </x:c>
      <x:c r="D23" s="159" t="str">
        <x:v>54%</x:v>
      </x:c>
      <x:c r="E23" s="159" t="n">
        <x:v>380</x:v>
      </x:c>
      <x:c r="F23" s="159" t="n">
        <x:v>10</x:v>
      </x:c>
      <x:c r="G23" s="159" t="n">
        <x:v>10</x:v>
      </x:c>
      <x:c r="H23" s="159" t="str">
        <x:v>35mm 세로 INSERT, 발판에서 척추를 훑는 빔</x:v>
      </x:c>
      <x:c r="I23" s="159" t="str">
        <x:v>스캔 빔이 아래에서 위로 한 번 지나간다. 인물의 얼굴과 구체 수치는 보여주지 않는다.</x:v>
      </x:c>
      <x:c r="J23" s="159" t="str">
        <x:v>텍스트 없음.</x:v>
      </x:c>
      <x:c r="K23" s="159" t="str">
        <x:v>짧은 ‘위이이잉—’.</x:v>
      </x:c>
      <x:c r="L23" s="159" t="str">
        <x:v>무채도 냉백 빔. 엠버·청록 금지.</x:v>
      </x:c>
      <x:c r="M23" s="159" t="str">
        <x:v>새 사람도 똑같이 스캔된다.</x:v>
      </x:c>
      <x:c r="N23" s="159" t="str">
        <x:v>아인의 코어 반응과 붉은 스파이크가 절차 속에서 얼마나 드문 예외였는지 비교하게 된다.</x:v>
      </x:c>
      <x:c r="O23" s="159" t="str">
        <x:v>이상은 반복을 충분히 본 뒤에야 이상으로 보인다.</x:v>
      </x:c>
      <x:c r="P23" s="159" t="str">
        <x:v>플레이어가 표준 스캔 리듬을 학습해 이후 비정상 신호를 감지하도록 하는 패턴 교육.</x:v>
      </x:c>
      <x:c r="Q23" s="159" t="str">
        <x:v>새로운 그래프·수치·이상 신호 추가 금지. 표준 절차만.</x:v>
      </x:c>
      <x:c r="R23" s="159" t="str">
        <x:v>짧고 명확한 반복으로 앞선 예외를 재독 때 돋보이게 한다.</x:v>
      </x:c>
      <x:c r="S23" s="159" t="str">
        <x:v>LOCKED_v1</x:v>
      </x:c>
    </x:row>
    <x:row r="24" ht="88" customHeight="1">
      <x:c r="A24" s="159" t="str">
        <x:v>130</x:v>
      </x:c>
      <x:c r="B24" s="159" t="str">
        <x:v>R. 반복되는 절차</x:v>
      </x:c>
      <x:c r="C24" s="159" t="str">
        <x:v>세 번째 C</x:v>
      </x:c>
      <x:c r="D24" s="159" t="str">
        <x:v>50%</x:v>
      </x:c>
      <x:c r="E24" s="159" t="n">
        <x:v>360</x:v>
      </x:c>
      <x:c r="F24" s="159" t="n">
        <x:v>10</x:v>
      </x:c>
      <x:c r="G24" s="159" t="n">
        <x:v>20</x:v>
      </x:c>
      <x:c r="H24" s="159" t="str">
        <x:v>100mm ECU, 인식표 각인 — CUT102·107 동일 구도</x:v>
      </x:c>
      <x:c r="I24" s="159" t="str">
        <x:v>회색 금속 태그에 C가 눌러 박힌다. 태그의 마모와 손 크기만 새 사람의 것으로 다르게 한다.</x:v>
      </x:c>
      <x:c r="J24" s="159" t="str">
        <x:v>텍스트 없음.</x:v>
      </x:c>
      <x:c r="K24" s="159" t="str">
        <x:v>동일한 ‘치익—’.</x:v>
      </x:c>
      <x:c r="L24" s="159" t="str">
        <x:v>각인기의 낮은 열만 엠버에 가까운 자연색. 초자연 발광은 아님.</x:v>
      </x:c>
      <x:c r="M24" s="159" t="str">
        <x:v>또 다른 사람이 C 판정을 받는다.</x:v>
      </x:c>
      <x:c r="N24" s="159" t="str">
        <x:v>C가 주인공의 고유 성취가 아니라 거대한 분류 체계의 시작점임을 안다.</x:v>
      </x:c>
      <x:c r="O24" s="159" t="str">
        <x:v>같은 표식 아래에도 셀 수 없이 다른 삶이 있다.</x:v>
      </x:c>
      <x:c r="P24" s="159" t="str">
        <x:v>랭크 표식의 일관된 자산 디자인과 캐릭터별 실제 성능 분리.</x:v>
      </x:c>
      <x:c r="Q24" s="159" t="str">
        <x:v>CUT102·107과 동일한 글자·각도 유지. 보상 이펙트·반짝임 금지.</x:v>
      </x:c>
      <x:c r="R24" s="159" t="str">
        <x:v>반복 타격음처럼 같은 제작음을 사용해 제도의 압박을 만든다.</x:v>
      </x:c>
      <x:c r="S24" s="159" t="str">
        <x:v>LOCKED_v1</x:v>
      </x:c>
    </x:row>
    <x:row r="25" ht="88" customHeight="1">
      <x:c r="A25" s="159" t="str">
        <x:v>131</x:v>
      </x:c>
      <x:c r="B25" s="159" t="str">
        <x:v>R. 반복되는 절차</x:v>
      </x:c>
      <x:c r="C25" s="159" t="str">
        <x:v>서랍이 다시 열리다</x:v>
      </x:c>
      <x:c r="D25" s="159" t="str">
        <x:v>50%</x:v>
      </x:c>
      <x:c r="E25" s="159" t="n">
        <x:v>360</x:v>
      </x:c>
      <x:c r="F25" s="159" t="n">
        <x:v>10</x:v>
      </x:c>
      <x:c r="G25" s="159" t="n">
        <x:v>10</x:v>
      </x:c>
      <x:c r="H25" s="159" t="str">
        <x:v>80mm INSERT, CUT112보다 더 가까운 서랍 손잡이</x:v>
      </x:c>
      <x:c r="I25" s="159" t="str">
        <x:v>평가가 끝나자 같은 손이 같은 손잡이를 당긴다. 유진의 얼굴은 보이지 않는다.</x:v>
      </x:c>
      <x:c r="J25" s="159" t="str">
        <x:v>텍스트 없음.</x:v>
      </x:c>
      <x:c r="K25" s="159" t="str">
        <x:v>‘드르륵’이 앞선 소리와 같은 길이로 반복.</x:v>
      </x:c>
      <x:c r="L25" s="159" t="str">
        <x:v>냉백과 회색 금속.</x:v>
      </x:c>
      <x:c r="M25" s="159" t="str">
        <x:v>유진이 또 장부를 꺼낸다.</x:v>
      </x:c>
      <x:c r="N25" s="159" t="str">
        <x:v>한 번의 의미심장한 행동이 아니라 모든 사람에게 적용되는 자기만의 원칙이었음을 안다.</x:v>
      </x:c>
      <x:c r="O25" s="159" t="str">
        <x:v>진심은 한 번의 선언보다 반복되는 동일 행동으로 증명된다.</x:v>
      </x:c>
      <x:c r="P25" s="159" t="str">
        <x:v>NPC의 숨은 루틴이 플레이어 유무와 관계없이 지속된다는 세계 설계.</x:v>
      </x:c>
      <x:c r="Q25" s="159" t="str">
        <x:v>카메라를 더 극적으로 만들지 않는다. 첫 서랍 장면과 같은 속도.</x:v>
      </x:c>
      <x:c r="R25" s="159" t="str">
        <x:v>반복 자체를 캐릭터의 신념으로 보이게 한다.</x:v>
      </x:c>
      <x:c r="S25" s="159" t="str">
        <x:v>LOCKED_v1</x:v>
      </x:c>
    </x:row>
    <x:row r="26" ht="88" customHeight="1">
      <x:c r="A26" s="159" t="str">
        <x:v>132</x:v>
      </x:c>
      <x:c r="B26" s="159" t="str">
        <x:v>R. 반복되는 절차</x:v>
      </x:c>
      <x:c r="C26" s="159" t="str">
        <x:v>한 줄이 더 늘다</x:v>
      </x:c>
      <x:c r="D26" s="159" t="str">
        <x:v>54%</x:v>
      </x:c>
      <x:c r="E26" s="159" t="n">
        <x:v>380</x:v>
      </x:c>
      <x:c r="F26" s="159" t="n">
        <x:v>10</x:v>
      </x:c>
      <x:c r="G26" s="159" t="n">
        <x:v>30</x:v>
      </x:c>
      <x:c r="H26" s="159" t="str">
        <x:v>110mm ECU, 노트 하단과 펜촉</x:v>
      </x:c>
      <x:c r="I26" s="159" t="str">
        <x:v>빈 줄 하나에 새 날짜와 이름, C가 더해진다. 이름은 읽을 수 있으나 주인공처럼 크게 보여주지 않는다.</x:v>
      </x:c>
      <x:c r="J26" s="159" t="str">
        <x:v>소품 글씨만.</x:v>
      </x:c>
      <x:c r="K26" s="159" t="str">
        <x:v>펜 ‘사각’ 몇 번.</x:v>
      </x:c>
      <x:c r="L26" s="159" t="str">
        <x:v>누런 종이와 검은 잉크.</x:v>
      </x:c>
      <x:c r="M26" s="159" t="str">
        <x:v>장부에 또 한 사람의 기록이 더해진다.</x:v>
      </x:c>
      <x:c r="N26" s="159" t="str">
        <x:v>주인공의 이름도 수백 개 중 하나이면서, 동시에 유진에게는 똑같이 손으로 적어야 할 하나였음을 안다.</x:v>
      </x:c>
      <x:c r="O26" s="159" t="str">
        <x:v>한 사람을 소중히 다루는 일은 그 사람만 특별 취급하는 것과 다르다.</x:v>
      </x:c>
      <x:c r="P26" s="159" t="str">
        <x:v>도감·명부 시스템에서 모든 NPC 기록을 동일한 존중으로 다루는 데이터·서사 원칙.</x:v>
      </x:c>
      <x:c r="Q26" s="159" t="str">
        <x:v>이름을 장식적으로 멋있게 만들지 않는다. 한 줄의 크기와 필압을 앞선 기록과 같게.</x:v>
      </x:c>
      <x:c r="R26" s="159" t="str">
        <x:v>작은 추가가 누적되어 세계의 규모를 만든다.</x:v>
      </x:c>
      <x:c r="S26" s="159" t="str">
        <x:v>LOCKED_v1</x:v>
      </x:c>
    </x:row>
    <x:row r="27" ht="88" customHeight="1">
      <x:c r="A27" s="159" t="str">
        <x:v>133</x:v>
      </x:c>
      <x:c r="B27" s="159" t="str">
        <x:v>S. 이름과 숫자</x:v>
      </x:c>
      <x:c r="C27" s="159" t="str">
        <x:v>빼곡한 사람들</x:v>
      </x:c>
      <x:c r="D27" s="159" t="str">
        <x:v>80%</x:v>
      </x:c>
      <x:c r="E27" s="159" t="n">
        <x:v>470</x:v>
      </x:c>
      <x:c r="F27" s="159" t="n">
        <x:v>20</x:v>
      </x:c>
      <x:c r="G27" s="159" t="n">
        <x:v>150</x:v>
      </x:c>
      <x:c r="H27" s="159" t="str">
        <x:v>35mm TOP DOWN, 펼친 페이지 전체</x:v>
      </x:c>
      <x:c r="I27" s="159" t="str">
        <x:v>페이지 전체에 날짜·이름·등급이 촘촘히 적혀 있다. 글씨는 줄마다 조금씩 급해지고 번진 흔적, 지운 자국, 다른 잉크 농도를 남겨 시간이 누적되었음을 보인다.</x:v>
      </x:c>
      <x:c r="J27" s="159" t="str">
        <x:v>텍스트 없음. 페이지의 실제 이름은 일부만 읽히고 나머지는 패턴처럼 보이게 한다.</x:v>
      </x:c>
      <x:c r="K27" s="159" t="str">
        <x:v>형광등 소리 아래 종이 넘김의 아주 작은 마찰.</x:v>
      </x:c>
      <x:c r="L27" s="159" t="str">
        <x:v>누런 종이와 검은·바랜 청색 잉크. 의도적 포인트 컬러 없음.</x:v>
      </x:c>
      <x:c r="M27" s="159" t="str">
        <x:v>유진이 얼마나 많은 사람을 기록해 왔는지 본다.</x:v>
      </x:c>
      <x:c r="N27" s="159" t="str">
        <x:v>이름들의 수가 평가소의 역사이자, 이후 살아남지 못했을 가능성이 있는 사람들의 흔적처럼 읽힌다. 모두의 운명을 확정하지 않는다.</x:v>
      </x:c>
      <x:c r="O27" s="159" t="str">
        <x:v>세계의 규모는 군중 숫자가 아니라 남겨진 이름의 밀도로 느껴진다.</x:v>
      </x:c>
      <x:c r="P27" s="159" t="str">
        <x:v>게임 기록실에서 인물 목록을 수집품이 아니라 세계의 인적 역사로 보이게 하는 기준.</x:v>
      </x:c>
      <x:c r="Q27" s="159" t="str">
        <x:v>⭐🤫🎭 유지. 피 묻은 이름·사망 표시·수거 체크 같은 답안 장식 금지.</x:v>
      </x:c>
      <x:c r="R27" s="159" t="str">
        <x:v>감정은 죽음의 명시가 아니라 독자가 이름 사이의 빈 시간을 상상하게 하여 만든다.</x:v>
      </x:c>
      <x:c r="S27" s="159" t="str">
        <x:v>LOCKED_v1</x:v>
      </x:c>
    </x:row>
    <x:row r="28" ht="88" customHeight="1">
      <x:c r="A28" s="159" t="str">
        <x:v>134</x:v>
      </x:c>
      <x:c r="B28" s="159" t="str">
        <x:v>S. 이름과 숫자</x:v>
      </x:c>
      <x:c r="C28" s="159" t="str">
        <x:v>아직 남은 빈칸</x:v>
      </x:c>
      <x:c r="D28" s="159" t="str">
        <x:v>52%</x:v>
      </x:c>
      <x:c r="E28" s="159" t="n">
        <x:v>380</x:v>
      </x:c>
      <x:c r="F28" s="159" t="n">
        <x:v>30</x:v>
      </x:c>
      <x:c r="G28" s="159" t="n">
        <x:v>120</x:v>
      </x:c>
      <x:c r="H28" s="159" t="str">
        <x:v>120mm ECU, 페이지 맨 아래의 비어 있는 줄</x:v>
      </x:c>
      <x:c r="I28" s="159" t="str">
        <x:v>빼곡한 이름 아래에 아직 쓰이지 않은 두세 줄이 남아 있다. 펜 자국도 접힌 흔적도 없는 깨끗한 여백이다.</x:v>
      </x:c>
      <x:c r="J28" s="159" t="str">
        <x:v>텍스트 없음.</x:v>
      </x:c>
      <x:c r="K28" s="159" t="str">
        <x:v>무음.</x:v>
      </x:c>
      <x:c r="L28" s="159" t="str">
        <x:v>종이의 가장 밝은 부분이지만 희망의 백광처럼 연출하지 않는다.</x:v>
      </x:c>
      <x:c r="M28" s="159" t="str">
        <x:v>페이지에 아직 다음 이름이 들어갈 공간이 남아 있음을 본다.</x:v>
      </x:c>
      <x:c r="N28" s="159" t="str">
        <x:v>그 빈칸이 살아남을 사람의 자리인지, 다음 희생의 자리인지, 기록이 계속된다는 뜻인지 여러 해석이 가능하다.</x:v>
      </x:c>
      <x:c r="O28" s="159" t="str">
        <x:v>빈칸은 희망도 절망도 아니라 아직 정해지지 않은 몫이다.</x:v>
      </x:c>
      <x:c r="P28" s="159" t="str">
        <x:v>미작성 슬롯을 단순 콘텐츠 공백이 아니라 플레이어가 아직 만나지 않은 사람들의 가능성으로 번역.</x:v>
      </x:c>
      <x:c r="Q28" s="159" t="str">
        <x:v>🤫 유지. 빈칸에 실루엣·예고 이름·핏자국 삽입 금지. 공식 정답을 약속하지 않는다.</x:v>
      </x:c>
      <x:c r="R28" s="159" t="str">
        <x:v>의미를 닫지 않는 여백으로 팬 해석과 재독의 공간을 남긴다.</x:v>
      </x:c>
      <x:c r="S28" s="159" t="str">
        <x:v>LOCKED_v1</x:v>
      </x:c>
    </x:row>
    <x:row r="29" ht="88" customHeight="1">
      <x:c r="A29" s="159" t="str">
        <x:v>135</x:v>
      </x:c>
      <x:c r="B29" s="159" t="str">
        <x:v>S. 이름과 숫자</x:v>
      </x:c>
      <x:c r="C29" s="159" t="str">
        <x:v>다시 덮이는 이름들</x:v>
      </x:c>
      <x:c r="D29" s="159" t="str">
        <x:v>64%</x:v>
      </x:c>
      <x:c r="E29" s="159" t="n">
        <x:v>400</x:v>
      </x:c>
      <x:c r="F29" s="159" t="n">
        <x:v>20</x:v>
      </x:c>
      <x:c r="G29" s="159" t="n">
        <x:v>100</x:v>
      </x:c>
      <x:c r="H29" s="159" t="str">
        <x:v>55mm MS, 유진이 페이지를 덮는 측면</x:v>
      </x:c>
      <x:c r="I29" s="159" t="str">
        <x:v>유진은 빈칸을 잠깐 바라본 뒤가 아니라, 기록을 마쳤다는 정확한 타이밍에 노트를 덮는다. 빈칸에 대한 감정을 표정으로 지정하지 않는다.</x:v>
      </x:c>
      <x:c r="J29" s="159" t="str">
        <x:v>텍스트 없음.</x:v>
      </x:c>
      <x:c r="K29" s="159" t="str">
        <x:v>노트 덮이는 ‘툭’.</x:v>
      </x:c>
      <x:c r="L29" s="159" t="str">
        <x:v>냉백. 종이의 따뜻한 색이 표지 아래로 사라진다.</x:v>
      </x:c>
      <x:c r="M29" s="159" t="str">
        <x:v>새 기록을 마치고 장부가 다시 닫힌다.</x:v>
      </x:c>
      <x:c r="N29" s="159" t="str">
        <x:v>이름을 남기는 행위는 계속되지만, 그 의미를 유진도 말하지 않는다는 사실이 남는다.</x:v>
      </x:c>
      <x:c r="O29" s="159" t="str">
        <x:v>모든 의미를 말로 완성하지 않아도 행동은 계속될 수 있다.</x:v>
      </x:c>
      <x:c r="P29" s="159" t="str">
        <x:v>기록 상호작용 종료 후 세계가 다음 루프로 넘어가는 컷신 마침.</x:v>
      </x:c>
      <x:c r="Q29" s="159" t="str">
        <x:v>유진의 시선 정지 시간을 과장하지 않는다. 독백·눈물 금지.</x:v>
      </x:c>
      <x:c r="R29" s="159" t="str">
        <x:v>장면을 설명으로 닫지 않고 물리적 동작으로만 마친다.</x:v>
      </x:c>
      <x:c r="S29" s="159" t="str">
        <x:v>LOCKED_v1</x:v>
      </x:c>
    </x:row>
    <x:row r="30" ht="88" customHeight="1">
      <x:c r="A30" s="159" t="str">
        <x:v>136</x:v>
      </x:c>
      <x:c r="B30" s="159" t="str">
        <x:v>S. 이름과 숫자</x:v>
      </x:c>
      <x:c r="C30" s="159" t="str">
        <x:v>무엇을 세는 숫자인가</x:v>
      </x:c>
      <x:c r="D30" s="159" t="str">
        <x:v>96%</x:v>
      </x:c>
      <x:c r="E30" s="159" t="n">
        <x:v>1500</x:v>
      </x:c>
      <x:c r="F30" s="159" t="n">
        <x:v>80</x:v>
      </x:c>
      <x:c r="G30" s="159" t="n">
        <x:v>500</x:v>
      </x:c>
      <x:c r="H30" s="159" t="str">
        <x:v>20mm EWIDE 극세로, 천장부터 발판·번호판·콘솔·닫힌 서랍까지 아래로 내려오는 한 컷</x:v>
      </x:c>
      <x:c r="I30" s="159" t="str">
        <x:v>상단에는 형광등과 번호판, 중단에는 빈 측정 발판, 하단에는 유진의 콘솔과 닫힌 서랍을 차례로 배치한다. 인물은 완전히 제외해 공간 전체가 하나의 측정 장치처럼 보이게 한다.</x:v>
      </x:c>
      <x:c r="J30" s="159" t="str">
        <x:v>나레이션은 컷 중단의 빈 벽에 두 줄. ‘아무도 몰랐다.’ 뒤 충분한 간격을 두고 ‘그 등급이 대체 무엇을 세고 있는 숫자인지.’를 아래에 놓는다.</x:v>
      </x:c>
      <x:c r="K30" s="159" t="str">
        <x:v>형광등 ‘지—’가 컷 상단에서 시작해 아래로 갈수록 사라진다. 마지막 문장 뒤 완전 무음.</x:v>
      </x:c>
      <x:c r="L30" s="159" t="str">
        <x:v>무채도 냉백. 화면 아래로 내려갈수록 채도와 밝기를 조금씩 낮추되 붉은 경고색은 쓰지 않는다.</x:v>
      </x:c>
      <x:c r="M30" s="159" t="str">
        <x:v>등급의 정체가 아직 아무에게도 알려지지 않았다는 핵심 질문과 함께 장면이 끝난다.</x:v>
      </x:c>
      <x:c r="N30" s="159" t="str">
        <x:v>발판은 몸을 재고, 번호판은 사람을 세며, 서랍 속 장부는 이름을 남긴다는 세 종류의 ‘셈’이 한 공간에 있었음을 발견한다.</x:v>
      </x:c>
      <x:c r="O30" s="159" t="str">
        <x:v>황혼에서 숫자는 힘만 재지 않는다. 누가 무엇을 위해 세는지를 끝까지 물어야 한다.</x:v>
      </x:c>
      <x:c r="P30" s="159" t="str">
        <x:v>랭크가 전투력 표기가 아니라 세계의 적대적 시스템과 연결된 핵심 미스터리임을 플레이어에게 계약하는 장면.</x:v>
      </x:c>
      <x:c r="Q30" s="159" t="str">
        <x:v>🎣 강조 금지와 서사 계약을 동시에 지킨다. 붉은 스파이크 재등장·정답 암시·수거 이미지 삽입 금지. 이 질문 자체는 본편에서 의미가 확정되어야 한다.</x:v>
      </x:c>
      <x:c r="R30" s="159" t="str">
        <x:v>공간 가독성과 장대한 세로 스크롤을 사용하되, 폭발 대신 질문과 무음으로 클리프를 만든다.</x:v>
      </x:c>
      <x:c r="S30" s="159" t="str">
        <x:v>LOCKED_v1</x:v>
      </x:c>
    </x:row>
    <x:row r="31" ht="24" customHeight="1">
      <x:c r="A31" s="266" t="str">
        <x:v>TOTAL / ESTIMATED SCROLL</x:v>
      </x:c>
      <x:c r="B31" s="266"/>
      <x:c r="C31" s="266"/>
      <x:c r="D31" s="266"/>
      <x:c r="E31" s="266" t="n">
        <x:v>11580</x:v>
      </x:c>
      <x:c r="F31" s="266" t="n">
        <x:v>650</x:v>
      </x:c>
      <x:c r="G31" s="266" t="n">
        <x:v>1895</x:v>
      </x:c>
      <x:c r="H31" s="266" t="str">
        <x:v>예상 총 세로합</x:v>
      </x:c>
      <x:c r="I31" s="266" t="n">
        <x:v>14125</x:v>
      </x:c>
      <x:c r="J31" s="266"/>
      <x:c r="K31" s="266"/>
      <x:c r="L31" s="266"/>
      <x:c r="M31" s="266"/>
      <x:c r="N31" s="266"/>
      <x:c r="O31" s="266"/>
      <x:c r="P31" s="266"/>
      <x:c r="Q31" s="266"/>
      <x:c r="R31" s="266"/>
      <x:c r="S31" s="266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</x:row>
  </x:sheetData>
  <x:mergeCells>
    <x:mergeCell ref="A1:S1"/>
    <x:mergeCell ref="A2:S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26" hidden="0" customWidth="1"/>
    <x:col min="4" max="4" width="13" hidden="0" customWidth="1"/>
    <x:col min="5" max="5" width="14" hidden="0" customWidth="1"/>
    <x:col min="6" max="6" width="14" hidden="0" customWidth="1"/>
    <x:col min="7" max="7" width="17" hidden="0" customWidth="1"/>
    <x:col min="8" max="8" width="32" hidden="0" customWidth="1"/>
    <x:col min="9" max="9" width="48" hidden="0" customWidth="1"/>
    <x:col min="10" max="10" width="42" hidden="0" customWidth="1"/>
    <x:col min="11" max="11" width="32" hidden="0" customWidth="1"/>
    <x:col min="12" max="12" width="34" hidden="0" customWidth="1"/>
    <x:col min="13" max="13" width="38" hidden="0" customWidth="1"/>
    <x:col min="14" max="14" width="42" hidden="0" customWidth="1"/>
    <x:col min="15" max="15" width="42" hidden="0" customWidth="1"/>
    <x:col min="16" max="16" width="42" hidden="0" customWidth="1"/>
    <x:col min="17" max="17" width="50" hidden="0" customWidth="1"/>
    <x:col min="18" max="18" width="44" hidden="0" customWidth="1"/>
    <x:col min="19" max="19" width="15" hidden="0" customWidth="1"/>
  </x:cols>
  <x:sheetData>
    <x:row r="1" ht="25.5" customHeight="1">
      <x:c r="A1" s="270" t="str">
        <x:v>EP01 CUT137–165 — 실제 연재 구현 v1.0</x:v>
      </x:c>
      <x:c r="B1" s="270"/>
      <x:c r="C1" s="270"/>
      <x:c r="D1" s="270"/>
      <x:c r="E1" s="270"/>
      <x:c r="F1" s="270"/>
      <x:c r="G1" s="270"/>
      <x:c r="H1" s="270"/>
      <x:c r="I1" s="270"/>
      <x:c r="J1" s="270"/>
      <x:c r="K1" s="270"/>
      <x:c r="L1" s="270"/>
      <x:c r="M1" s="270"/>
      <x:c r="N1" s="270"/>
      <x:c r="O1" s="270"/>
      <x:c r="P1" s="270"/>
      <x:c r="Q1" s="270"/>
      <x:c r="R1" s="270"/>
      <x:c r="S1" s="270"/>
    </x:row>
    <x:row r="2" ht="33" customHeight="1">
      <x:c r="A2" s="275" t="str">
        <x:v>마태오의 사무소 → 보지 않는 CRT → C 둘의 의뢰 → 훈련장 하강 → 30만 원짜리 허수아비 → 반보와 첫 타격 직전. 원본 29컷 유지.</x:v>
      </x:c>
      <x:c r="B2" s="275"/>
      <x:c r="C2" s="275"/>
      <x:c r="D2" s="275"/>
      <x:c r="E2" s="275"/>
      <x:c r="F2" s="275"/>
      <x:c r="G2" s="275"/>
      <x:c r="H2" s="275"/>
      <x:c r="I2" s="275"/>
      <x:c r="J2" s="275"/>
      <x:c r="K2" s="275"/>
      <x:c r="L2" s="275"/>
      <x:c r="M2" s="275"/>
      <x:c r="N2" s="275"/>
      <x:c r="O2" s="275"/>
      <x:c r="P2" s="275"/>
      <x:c r="Q2" s="275"/>
      <x:c r="R2" s="275"/>
      <x:c r="S2" s="275"/>
    </x:row>
    <x:row r="3" ht="7.5" customHeight="1"/>
    <x:row r="4" ht="36" customHeight="1">
      <x:c r="A4" s="287" t="str">
        <x:v>CUT_ID</x:v>
      </x:c>
      <x:c r="B4" s="288" t="str">
        <x:v>BEAT</x:v>
      </x:c>
      <x:c r="C4" s="288" t="str">
        <x:v>PANEL_ROLE</x:v>
      </x:c>
      <x:c r="D4" s="288" t="str">
        <x:v>WIDTH_CLASS</x:v>
      </x:c>
      <x:c r="E4" s="288" t="str">
        <x:v>SOURCE_HEIGHT_PX</x:v>
      </x:c>
      <x:c r="F4" s="288" t="str">
        <x:v>TOP_GUTTER_PX</x:v>
      </x:c>
      <x:c r="G4" s="288" t="str">
        <x:v>BOTTOM_GUTTER_PX</x:v>
      </x:c>
      <x:c r="H4" s="288" t="str">
        <x:v>CAMERA</x:v>
      </x:c>
      <x:c r="I4" s="288" t="str">
        <x:v>ACTION_COMPOSITION</x:v>
      </x:c>
      <x:c r="J4" s="288" t="str">
        <x:v>TEXT_LAYOUT</x:v>
      </x:c>
      <x:c r="K4" s="288" t="str">
        <x:v>SFX_AUDIO</x:v>
      </x:c>
      <x:c r="L4" s="288" t="str">
        <x:v>COLOR_LIGHT</x:v>
      </x:c>
      <x:c r="M4" s="288" t="str">
        <x:v>FIRST_READ</x:v>
      </x:c>
      <x:c r="N4" s="288" t="str">
        <x:v>THIRD_READ</x:v>
      </x:c>
      <x:c r="O4" s="288" t="str">
        <x:v>FIFTH_READ</x:v>
      </x:c>
      <x:c r="P4" s="288" t="str">
        <x:v>GAME_ECHO</x:v>
      </x:c>
      <x:c r="Q4" s="288" t="str">
        <x:v>PRODUCTION_LOCK</x:v>
      </x:c>
      <x:c r="R4" s="288" t="str">
        <x:v>BENCHMARK_BALANCE</x:v>
      </x:c>
      <x:c r="S4" s="289" t="str">
        <x:v>STATUS</x:v>
      </x:c>
    </x:row>
    <x:row r="5" ht="84" customHeight="1">
      <x:c r="A5" s="312" t="str">
        <x:v>137</x:v>
      </x:c>
      <x:c r="B5" s="304" t="str">
        <x:v>A. 보지 않는 화면</x:v>
      </x:c>
      <x:c r="C5" s="304" t="str">
        <x:v>죽은 화면들이 둘러싼 사무소</x:v>
      </x:c>
      <x:c r="D5" s="314" t="str">
        <x:v>72%</x:v>
      </x:c>
      <x:c r="E5" s="318" t="n">
        <x:v>430</x:v>
      </x:c>
      <x:c r="F5" s="318" t="n">
        <x:v>120</x:v>
      </x:c>
      <x:c r="G5" s="318" t="n">
        <x:v>50</x:v>
      </x:c>
      <x:c r="H5" s="304" t="str">
        <x:v>24mm WIDE, 출입문 쪽에서 서류더미·책상·CRT 벽을 한 번에 보여주는 사무소 소개 숏</x:v>
      </x:c>
      <x:c r="I5" s="304" t="str">
        <x:v>벽 한 면의 CRT 중 절반은 죽어 있고, 살아 있는 화면 대부분에는 지도·신호·의뢰 목록이 낮은 밝기로 떠 있다. 책상과 서류더미가 동선을 좁히며, 오른쪽 아래 가족 영상은 ‘발견 가능하지만 중심은 아닌’ 크기로 둔다.</x:v>
      </x:c>
      <x:c r="J5" s="304" t="str">
        <x:v>텍스트 없음. 방 설명을 캡션으로 추가하지 않는다.</x:v>
      </x:c>
      <x:c r="K5" s="304" t="str">
        <x:v>낮은 CRT 전기음과 종이 넘김, 멀리서 벙커 생활 소음. 음악은 시작하지 않는다.</x:v>
      </x:c>
      <x:c r="L5" s="304" t="str">
        <x:v>스탠드의 낮은 황색과 죽은 CRT의 회백색. 화면 발광은 약하게 눌러 방을 네온처럼 물들이지 않는다. 초자연 발광은 없고, 마태오의 담배 끝은 완전히 어둡다.</x:v>
      </x:c>
      <x:c r="M5" s="304" t="str">
        <x:v>낡은 의뢰 사무소가 벙커 허브의 미션 선택 공간임을 한눈에 이해한다.</x:v>
      </x:c>
      <x:c r="N5" s="304" t="str">
        <x:v>후속 정보가 생기면 행동·배경의 의미를 재검토</x:v>
      </x:c>
      <x:c r="O5" s="304" t="str">
        <x:v>독자는 ‘기록 / 이름 / 손실’를 설명이 아니라 황혼의 판단 언어로 체화한다.</x:v>
      </x:c>
      <x:c r="P5" s="304" t="str">
        <x:v>허브의 의뢰실. 지도·신호·의뢰 목록은 다이에제틱 CRT 자산이며 실제 미션 선택과 연결되지만, 웹툰 화면은 메뉴처럼 보이지 않는다.</x:v>
      </x:c>
      <x:c r="Q5" s="304" t="str">
        <x:v>GLOBAL-VIS-01 / CRT 화면은 저휘도 회백. 도시 불빛·네온 UI 금지. 가족 영상은 오른쪽 아래에만.</x:v>
      </x:c>
      <x:c r="R5" s="304" t="str">
        <x:v>건조한 인물 연기와 생활 소품을 우선한다. 관계의 온도는 말보다 시선·등진 자세·불붙지 않은 담배로 만들고, 유머는 카인의 반응에서만 짧게 흘린다. 벤치마크 작품의 구도·표정·대사를 직접 복제하지 않는다.</x:v>
      </x:c>
      <x:c r="S5" s="323" t="str">
        <x:v>LOCKED_v1</x:v>
      </x:c>
    </x:row>
    <x:row r="6" ht="84" customHeight="1">
      <x:c r="A6" s="312" t="str">
        <x:v>138</x:v>
      </x:c>
      <x:c r="B6" s="304" t="str">
        <x:v>A. 보지 않는 화면</x:v>
      </x:c>
      <x:c r="C6" s="304" t="str">
        <x:v>불붙지 않는 담배의 주인</x:v>
      </x:c>
      <x:c r="D6" s="314" t="str">
        <x:v>72%</x:v>
      </x:c>
      <x:c r="E6" s="318" t="n">
        <x:v>430</x:v>
      </x:c>
      <x:c r="F6" s="318" t="n">
        <x:v>20</x:v>
      </x:c>
      <x:c r="G6" s="318" t="n">
        <x:v>50</x:v>
      </x:c>
      <x:c r="H6" s="304" t="str">
        <x:v>65mm MS, 회전하는 암체어와 마태오의 구부정한 어깨·불붙지 않은 담배를 함께</x:v>
      </x:c>
      <x:c r="I6" s="304" t="str">
        <x:v>마태오는 책상에 깊게 기대지 않고 앞으로 조금 숙인 채 앉는다. 거친 재킷, 굽은 어깨, 입에 문 담배가 한 실루엣을 이루며 방의 중심은 인물보다 오래된 노동 흔적에 있다.</x:v>
      </x:c>
      <x:c r="J6" s="304" t="str">
        <x:v>텍스트 없음. 이름 자막은 첫 등장 장면 전체가 읽힌 뒤 다음 컷에서 처리하거나 생략한다.</x:v>
      </x:c>
      <x:c r="K6" s="304" t="str">
        <x:v>암체어 가죽이 짧게 우는 소리. 담배에는 불 붙는 소리도 흡입음도 없다.</x:v>
      </x:c>
      <x:c r="L6" s="304" t="str">
        <x:v>스탠드의 낮은 황색과 죽은 CRT의 회백색. 화면 발광은 약하게 눌러 방을 네온처럼 물들이지 않는다. 초자연 발광은 없고, 마태오의 담배 끝은 완전히 어둡다.</x:v>
      </x:c>
      <x:c r="M6" s="304" t="str">
        <x:v>1회독에는 ‘불붙지 않는 담배의 주인’을 먼저 본다. 의뢰·보수·마태오의 허브 기능을 소개</x:v>
      </x:c>
      <x:c r="N6" s="304" t="str">
        <x:v>후속 정보가 생기면 행동·배경의 의미를 재검토</x:v>
      </x:c>
      <x:c r="O6" s="304" t="str">
        <x:v>독자는 ‘선택 / 대가 / 침묵’를 설명이 아니라 황혼의 판단 언어로 체화한다.</x:v>
      </x:c>
      <x:c r="P6" s="304" t="str">
        <x:v>미션 선택·보수·허브 의뢰실</x:v>
      </x:c>
      <x:c r="Q6" s="304" t="str">
        <x:v>GLOBAL-VIS-01 / 마태오의 담배는 불이 붙지 않는다. 연기 금지.</x:v>
      </x:c>
      <x:c r="R6" s="304" t="str">
        <x:v>건조한 인물 연기와 생활 소품을 우선한다. 관계의 온도는 말보다 시선·등진 자세·불붙지 않은 담배로 만들고, 유머는 카인의 반응에서만 짧게 흘린다. 벤치마크 작품의 구도·표정·대사를 직접 복제하지 않는다.</x:v>
      </x:c>
      <x:c r="S6" s="323" t="str">
        <x:v>LOCKED_v1</x:v>
      </x:c>
    </x:row>
    <x:row r="7" ht="84" customHeight="1">
      <x:c r="A7" s="312" t="str">
        <x:v>139</x:v>
      </x:c>
      <x:c r="B7" s="304" t="str">
        <x:v>A. 보지 않는 화면</x:v>
      </x:c>
      <x:c r="C7" s="304" t="str">
        <x:v>타지 않는 끝</x:v>
      </x:c>
      <x:c r="D7" s="314" t="str">
        <x:v>54%</x:v>
      </x:c>
      <x:c r="E7" s="318" t="n">
        <x:v>360</x:v>
      </x:c>
      <x:c r="F7" s="318" t="n">
        <x:v>10</x:v>
      </x:c>
      <x:c r="G7" s="318" t="n">
        <x:v>20</x:v>
      </x:c>
      <x:c r="H7" s="304" t="str">
        <x:v>120mm ECU, 재도 불씨도 없는 담배 끝만 프레임 중앙에</x:v>
      </x:c>
      <x:c r="I7" s="304" t="str">
        <x:v>담배 끝은 완전히 마른 종이색이다. 재·연기·불씨를 모두 배제해 ‘피우지 않는 담배’가 즉시 읽히게 한다.</x:v>
      </x:c>
      <x:c r="J7" s="304" t="str">
        <x:v>텍스트 없음. ‘불이 없다’라는 설명 자막 금지.</x:v>
      </x:c>
      <x:c r="K7" s="304" t="str">
        <x:v>무음에 가깝게. 멀리 CRT 노이즈만 남는다.</x:v>
      </x:c>
      <x:c r="L7" s="304" t="str">
        <x:v>스탠드의 낮은 황색과 죽은 CRT의 회백색. 화면 발광은 약하게 눌러 방을 네온처럼 물들이지 않는다. 초자연 발광은 없고, 마태오의 담배 끝은 완전히 어둡다.</x:v>
      </x:c>
      <x:c r="M7" s="304" t="str">
        <x:v>1회독에는 ‘타지 않는 끝’을 먼저 본다. 의뢰·보수·마태오의 허브 기능을 소개</x:v>
      </x:c>
      <x:c r="N7" s="304" t="str">
        <x:v>후속 정보가 생기면 행동·배경의 의미를 재검토</x:v>
      </x:c>
      <x:c r="O7" s="304" t="str">
        <x:v>독자는 ‘선택 / 대가 / 침묵’를 설명이 아니라 황혼의 판단 언어로 체화한다.</x:v>
      </x:c>
      <x:c r="P7" s="304" t="str">
        <x:v>미션 선택·보수·허브 의뢰실</x:v>
      </x:c>
      <x:c r="Q7" s="304" t="str">
        <x:v>GLOBAL-VIS-01 / 담배 끝에 불씨·재·연기 절대 금지.</x:v>
      </x:c>
      <x:c r="R7" s="304" t="str">
        <x:v>건조한 인물 연기와 생활 소품을 우선한다. 관계의 온도는 말보다 시선·등진 자세·불붙지 않은 담배로 만들고, 유머는 카인의 반응에서만 짧게 흘린다. 벤치마크 작품의 구도·표정·대사를 직접 복제하지 않는다.</x:v>
      </x:c>
      <x:c r="S7" s="323" t="str">
        <x:v>LOCKED_v1</x:v>
      </x:c>
    </x:row>
    <x:row r="8" ht="84" customHeight="1">
      <x:c r="A8" s="312" t="str">
        <x:v>140</x:v>
      </x:c>
      <x:c r="B8" s="304" t="str">
        <x:v>A. 보지 않는 화면</x:v>
      </x:c>
      <x:c r="C8" s="304" t="str">
        <x:v>화면을 등지는 사람</x:v>
      </x:c>
      <x:c r="D8" s="314" t="str">
        <x:v>72%</x:v>
      </x:c>
      <x:c r="E8" s="318" t="n">
        <x:v>430</x:v>
      </x:c>
      <x:c r="F8" s="318" t="n">
        <x:v>20</x:v>
      </x:c>
      <x:c r="G8" s="318" t="n">
        <x:v>50</x:v>
      </x:c>
      <x:c r="H8" s="304" t="str">
        <x:v>35mm REAR MS, 마태오의 등과 CRT 벽을 같은 축에 두되 얼굴과 화면을 서로 마주 보지 않게</x:v>
      </x:c>
      <x:c r="I8" s="304" t="str">
        <x:v>마태오의 등이 CRT 화면 중앙을 가리지는 않는다. 화면은 보이지만 그의 시선선과 절대 만나지 않게 좌우 축을 어긋나게 둔다.</x:v>
      </x:c>
      <x:c r="J8" s="304" t="str">
        <x:v>텍스트 없음. ‘보지 않는다’를 내레이션으로 설명하지 않는다.</x:v>
      </x:c>
      <x:c r="K8" s="304" t="str">
        <x:v>CRT 전기음은 들리지만 영상 내용의 소리는 전혀 없다. 마태오의 호흡도 과장하지 않는다.</x:v>
      </x:c>
      <x:c r="L8" s="304" t="str">
        <x:v>스탠드의 낮은 황색과 죽은 CRT의 회백색. 화면 발광은 약하게 눌러 방을 네온처럼 물들이지 않는다. 초자연 발광은 없고, 마태오의 담배 끝은 완전히 어둡다.</x:v>
      </x:c>
      <x:c r="M8" s="304" t="str">
        <x:v>마태오가 CRT를 켜 두고도 화면을 보지 않는다는 행동을 본다.</x:v>
      </x:c>
      <x:c r="N8" s="304" t="str">
        <x:v>마태오가 영상을 켜 둔 채 한 번도 보지 않는다는 반복이, 기억을 지우지도 마주하지도 못하는 생활 방식으로 다시 읽힌다. 정확한 사연은 본편이 전부 설명하지 않을 수 있다.</x:v>
      </x:c>
      <x:c r="O8" s="304" t="str">
        <x:v>독자는 ‘선택 / 대가 / 침묵’를 설명이 아니라 황혼의 판단 언어로 체화한다.</x:v>
      </x:c>
      <x:c r="P8" s="304" t="str">
        <x:v>미션 선택·보수·허브 의뢰실</x:v>
      </x:c>
      <x:c r="Q8" s="304" t="str">
        <x:v>대사 금지 또는 응답 없는 침묵 유지 / 마태오는 CRT를 보지 않음 / 영상 인물 얼굴 선명 금지 / GLOBAL-VIS-01 / 마태오는 CRT를 보지 않는다. 얼굴과 화면의 시선선이 만나면 안 된다.</x:v>
      </x:c>
      <x:c r="R8" s="304" t="str">
        <x:v>건조한 인물 연기와 생활 소품을 우선한다. 관계의 온도는 말보다 시선·등진 자세·불붙지 않은 담배로 만들고, 유머는 카인의 반응에서만 짧게 흘린다. 벤치마크 작품의 구도·표정·대사를 직접 복제하지 않는다.</x:v>
      </x:c>
      <x:c r="S8" s="323" t="str">
        <x:v>LOCKED_v1</x:v>
      </x:c>
    </x:row>
    <x:row r="9" ht="84" customHeight="1">
      <x:c r="A9" s="312" t="str">
        <x:v>141</x:v>
      </x:c>
      <x:c r="B9" s="304" t="str">
        <x:v>A. 보지 않는 화면</x:v>
      </x:c>
      <x:c r="C9" s="304" t="str">
        <x:v>아무도 보지 않는 47초</x:v>
      </x:c>
      <x:c r="D9" s="314" t="str">
        <x:v>64%</x:v>
      </x:c>
      <x:c r="E9" s="318" t="n">
        <x:v>380</x:v>
      </x:c>
      <x:c r="F9" s="318" t="n">
        <x:v>20</x:v>
      </x:c>
      <x:c r="G9" s="318" t="n">
        <x:v>180</x:v>
      </x:c>
      <x:c r="H9" s="304" t="str">
        <x:v>90mm CU, CRT 오른쪽 아래 작은 화면만. 가족 얼굴은 또렷하게 식별되지 않도록 약간 비껴 잡기</x:v>
      </x:c>
      <x:c r="I9" s="304" t="str">
        <x:v>여자와 아이 둘은 가정용 영상의 흔들린 프레임 속에 작게 보인다. 아이가 촛불을 끄려 몸을 숙이는 직전에서 화면이 끊길 것을 한 프레임 안에 암시하되 얼굴은 또렷이 식별하지 않는다.</x:v>
      </x:c>
      <x:c r="J9" s="304" t="str">
        <x:v>영상은 무음이며 화면 안 글자·자막도 없다. 얼굴 이름이나 날짜를 삽입하지 않는다.</x:v>
      </x:c>
      <x:c r="K9" s="304" t="str">
        <x:v>47초 영상은 완전 무음. 화면이 끊기는 순간 작은 영상 노이즈 한 번 뒤 곧 같은 무음 루프.</x:v>
      </x:c>
      <x:c r="L9" s="304" t="str">
        <x:v>스탠드의 낮은 황색과 죽은 CRT의 회백색. 화면 발광은 약하게 눌러 방을 네온처럼 물들이지 않는다. 초자연 발광은 없고, 마태오의 담배 끝은 완전히 어둡다.</x:v>
      </x:c>
      <x:c r="M9" s="304" t="str">
        <x:v>소리 없는 가족 영상이 같은 지점에서 반복되는 이상한 배경을 발견한다.</x:v>
      </x:c>
      <x:c r="N9" s="304" t="str">
        <x:v>처음에는 낡은 배경 영상이지만 반복될수록 마태오가 비용을 감수해 보존한 47초라는 사실이 감정의 잔향이 된다. 얼굴과 관계의 정답은 닫지 않는다.</x:v>
      </x:c>
      <x:c r="O9" s="304" t="str">
        <x:v>독자는 ‘선택 / 대가 / 침묵’를 설명이 아니라 황혼의 판단 언어로 체화한다.</x:v>
      </x:c>
      <x:c r="P9" s="304" t="str">
        <x:v>게임에서는 상호작용 가능한 배경 영상 또는 반복 환경 오브젝트. 조사해도 관계를 단정하는 정답 로그보다 무음 루프와 주변 반응만 제공한다.</x:v>
      </x:c>
      <x:c r="Q9" s="304" t="str">
        <x:v>대사 금지 또는 응답 없는 침묵 유지 / 마태오는 CRT를 보지 않음 / 영상 인물 얼굴 선명 금지 / GLOBAL-VIS-01 / 영상 무음, 여자 1·아이 2. 얼굴 또렷한 묘사 금지. 아이가 촛불을 끄려 숙일 때 끊기는 47초 루프.</x:v>
      </x:c>
      <x:c r="R9" s="304" t="str">
        <x:v>건조한 인물 연기와 생활 소품을 우선한다. 관계의 온도는 말보다 시선·등진 자세·불붙지 않은 담배로 만들고, 유머는 카인의 반응에서만 짧게 흘린다. 벤치마크 작품의 구도·표정·대사를 직접 복제하지 않는다.</x:v>
      </x:c>
      <x:c r="S9" s="323" t="str">
        <x:v>LOCKED_v1</x:v>
      </x:c>
    </x:row>
    <x:row r="10" ht="84" customHeight="1">
      <x:c r="A10" s="312" t="str">
        <x:v>142</x:v>
      </x:c>
      <x:c r="B10" s="304" t="str">
        <x:v>B. C 둘과 의뢰</x:v>
      </x:c>
      <x:c r="C10" s="304" t="str">
        <x:v>반보가 들어오는 문</x:v>
      </x:c>
      <x:c r="D10" s="314" t="str">
        <x:v>72%</x:v>
      </x:c>
      <x:c r="E10" s="318" t="n">
        <x:v>470</x:v>
      </x:c>
      <x:c r="F10" s="318" t="n">
        <x:v>10</x:v>
      </x:c>
      <x:c r="G10" s="318" t="n">
        <x:v>20</x:v>
      </x:c>
      <x:c r="H10" s="304" t="str">
        <x:v>28mm DOORWAY WIDE, 문 안쪽에서 아인과 카인의 전신·두 쌍의 발·반보 간격까지</x:v>
      </x:c>
      <x:c r="I10" s="304" t="str">
        <x:v>아인이 먼저 문턱을 넘고 카인은 정확히 반보 뒤에서 멈춘다. 두 인식표는 새것의 열감만 남아 있고, 두 쌍의 발이 반드시 프레임에 들어온다.</x:v>
      </x:c>
      <x:c r="J10" s="304" t="str">
        <x:v>텍스트 없음. 반보를 설명하는 내레이션 금지.</x:v>
      </x:c>
      <x:c r="K10" s="304" t="str">
        <x:v>문 경첩·두 사람 발소리·새 인식표의 아주 작은 금속음. 카인은 반보 늦게 한 번 더 딛는다.</x:v>
      </x:c>
      <x:c r="L10" s="304" t="str">
        <x:v>스탠드의 낮은 황색과 죽은 CRT의 회백색. 화면 발광은 약하게 눌러 방을 네온처럼 물들이지 않는다. 초자연 발광은 없고, 마태오의 담배 끝은 완전히 어둡다.</x:v>
      </x:c>
      <x:c r="M10" s="304" t="str">
        <x:v>1회독에는 ‘반보가 들어오는 문’을 먼저 본다. 의뢰·보수·마태오의 허브 기능을 소개</x:v>
      </x:c>
      <x:c r="N10" s="304" t="str">
        <x:v>후속 정보가 생기면 행동·배경의 의미를 재검토</x:v>
      </x:c>
      <x:c r="O10" s="304" t="str">
        <x:v>독자는 ‘거리 / 보호 / 선택’를 설명이 아니라 황혼의 판단 언어로 체화한다.</x:v>
      </x:c>
      <x:c r="P10" s="304" t="str">
        <x:v>미션 선택·보수·허브 의뢰실</x:v>
      </x:c>
      <x:c r="Q10" s="304" t="str">
        <x:v>GLOBAL-VIS-01 / 카인은 아인의 반보 뒤. 두 쌍의 발이 프레임에 들어온다. 아인 왼쪽 견갑·오른쪽 건틀릿 고정.</x:v>
      </x:c>
      <x:c r="R10" s="304" t="str">
        <x:v>건조한 인물 연기와 생활 소품을 우선한다. 관계의 온도는 말보다 시선·등진 자세·불붙지 않은 담배로 만들고, 유머는 카인의 반응에서만 짧게 흘린다. 벤치마크 작품의 구도·표정·대사를 직접 복제하지 않는다.</x:v>
      </x:c>
      <x:c r="S10" s="323" t="str">
        <x:v>LOCKED_v1</x:v>
      </x:c>
    </x:row>
    <x:row r="11" ht="84" customHeight="1">
      <x:c r="A11" s="312" t="str">
        <x:v>143</x:v>
      </x:c>
      <x:c r="B11" s="304" t="str">
        <x:v>B. C 둘과 의뢰</x:v>
      </x:c>
      <x:c r="C11" s="304" t="str">
        <x:v>C 둘</x:v>
      </x:c>
      <x:c r="D11" s="314" t="str">
        <x:v>64%</x:v>
      </x:c>
      <x:c r="E11" s="318" t="n">
        <x:v>400</x:v>
      </x:c>
      <x:c r="F11" s="318" t="n">
        <x:v>20</x:v>
      </x:c>
      <x:c r="G11" s="318" t="n">
        <x:v>50</x:v>
      </x:c>
      <x:c r="H11" s="304" t="str">
        <x:v>85mm CU, 마태오 시선과 두 인식표를 같은 시선선에</x:v>
      </x:c>
      <x:c r="I11" s="304" t="str">
        <x:v>마태오의 눈이 얼굴 전체보다 먼저 두 C 인식표로 내려간다. 아인과 카인은 화면 밖 또는 흐릿한 전경으로 두어 ‘사람보다 표식을 먼저 읽는 업무 습관’만 보여준다.</x:v>
      </x:c>
      <x:c r="J11" s="304" t="str">
        <x:v>작은 말풍선을 마태오 입 가까이 두되 두 인식표 위를 가리지 않는다. 「…C 둘.」</x:v>
      </x:c>
      <x:c r="K11" s="304" t="str">
        <x:v>대사 외에는 종이와 CRT 웅음만.</x:v>
      </x:c>
      <x:c r="L11" s="304" t="str">
        <x:v>스탠드의 낮은 황색과 죽은 CRT의 회백색. 화면 발광은 약하게 눌러 방을 네온처럼 물들이지 않는다. 초자연 발광은 없고, 마태오의 담배 끝은 완전히 어둡다.</x:v>
      </x:c>
      <x:c r="M11" s="304" t="str">
        <x:v>1회독에는 ‘C 둘’을 먼저 본다. 의뢰·보수·마태오의 허브 기능을 소개</x:v>
      </x:c>
      <x:c r="N11" s="304" t="str">
        <x:v>후속 정보가 생기면 행동·배경의 의미를 재검토</x:v>
      </x:c>
      <x:c r="O11" s="304" t="str">
        <x:v>독자는 ‘등급 / 성숙 / 결정권’를 설명이 아니라 황혼의 판단 언어로 체화한다.</x:v>
      </x:c>
      <x:c r="P11" s="304" t="str">
        <x:v>미션 선택·보수·허브 의뢰실</x:v>
      </x:c>
      <x:c r="Q11" s="304" t="str">
        <x:v>GLOBAL-VIS-01 / C 인식표는 두 개. 레벨업 후광·등급색 금지.</x:v>
      </x:c>
      <x:c r="R11" s="304" t="str">
        <x:v>건조한 인물 연기와 생활 소품을 우선한다. 관계의 온도는 말보다 시선·등진 자세·불붙지 않은 담배로 만들고, 유머는 카인의 반응에서만 짧게 흘린다. 벤치마크 작품의 구도·표정·대사를 직접 복제하지 않는다.</x:v>
      </x:c>
      <x:c r="S11" s="323" t="str">
        <x:v>LOCKED_v1</x:v>
      </x:c>
    </x:row>
    <x:row r="12" ht="84" customHeight="1">
      <x:c r="A12" s="312" t="str">
        <x:v>144</x:v>
      </x:c>
      <x:c r="B12" s="304" t="str">
        <x:v>B. C 둘과 의뢰</x:v>
      </x:c>
      <x:c r="C12" s="304" t="str">
        <x:v>의뢰서 한 장</x:v>
      </x:c>
      <x:c r="D12" s="314" t="str">
        <x:v>72%</x:v>
      </x:c>
      <x:c r="E12" s="318" t="n">
        <x:v>380</x:v>
      </x:c>
      <x:c r="F12" s="318" t="n">
        <x:v>10</x:v>
      </x:c>
      <x:c r="G12" s="318" t="n">
        <x:v>20</x:v>
      </x:c>
      <x:c r="H12" s="304" t="str">
        <x:v>50mm TOP DOWN, 책상 위 빈 공간에 의뢰서가 들어오는 순간</x:v>
      </x:c>
      <x:c r="I12" s="304" t="str">
        <x:v>의뢰서는 회전하며 날아오지 않고 손목 힘으로 짧게 ‘툭’ 놓인다. 책상 먼지가 아주 조금 밀리며 종이 무게를 느끼게 한다.</x:v>
      </x:c>
      <x:c r="J12" s="304" t="str">
        <x:v>효과음 ‘툭’만 종이 착지점 가까이에 작게.</x:v>
      </x:c>
      <x:c r="K12" s="304" t="str">
        <x:v>종이 ‘툭’ 한 번. 책상 먼지 마찰은 아주 작게.</x:v>
      </x:c>
      <x:c r="L12" s="304" t="str">
        <x:v>스탠드의 낮은 황색과 죽은 CRT의 회백색. 화면 발광은 약하게 눌러 방을 네온처럼 물들이지 않는다. 초자연 발광은 없고, 마태오의 담배 끝은 완전히 어둡다.</x:v>
      </x:c>
      <x:c r="M12" s="304" t="str">
        <x:v>1회독에는 ‘의뢰서 한 장’을 먼저 본다. 의뢰·보수·마태오의 허브 기능을 소개</x:v>
      </x:c>
      <x:c r="N12" s="304" t="str">
        <x:v>후속 정보가 생기면 행동·배경의 의미를 재검토</x:v>
      </x:c>
      <x:c r="O12" s="304" t="str">
        <x:v>독자는 ‘기록 / 이름 / 손실’를 설명이 아니라 황혼의 판단 언어로 체화한다.</x:v>
      </x:c>
      <x:c r="P12" s="304" t="str">
        <x:v>미션 선택·보수·허브 의뢰실</x:v>
      </x:c>
      <x:c r="Q12" s="304" t="str">
        <x:v>GLOBAL-VIS-01</x:v>
      </x:c>
      <x:c r="R12" s="304" t="str">
        <x:v>건조한 인물 연기와 생활 소품을 우선한다. 관계의 온도는 말보다 시선·등진 자세·불붙지 않은 담배로 만들고, 유머는 카인의 반응에서만 짧게 흘린다. 벤치마크 작품의 구도·표정·대사를 직접 복제하지 않는다.</x:v>
      </x:c>
      <x:c r="S12" s="323" t="str">
        <x:v>LOCKED_v1</x:v>
      </x:c>
    </x:row>
    <x:row r="13" ht="84" customHeight="1">
      <x:c r="A13" s="312" t="str">
        <x:v>145</x:v>
      </x:c>
      <x:c r="B13" s="304" t="str">
        <x:v>B. C 둘과 의뢰</x:v>
      </x:c>
      <x:c r="C13" s="304" t="str">
        <x:v>다음 전장의 이름</x:v>
      </x:c>
      <x:c r="D13" s="314" t="str">
        <x:v>56%</x:v>
      </x:c>
      <x:c r="E13" s="318" t="n">
        <x:v>380</x:v>
      </x:c>
      <x:c r="F13" s="318" t="n">
        <x:v>10</x:v>
      </x:c>
      <x:c r="G13" s="318" t="n">
        <x:v>20</x:v>
      </x:c>
      <x:c r="H13" s="304" t="str">
        <x:v>110mm INSERT, 의뢰서 상단 지명과 접힌 종이 결만</x:v>
      </x:c>
      <x:c r="I13" s="304" t="str">
        <x:v>상단의 ‘강남역 지하상가’는 소품 글씨로 읽히고, 금액·세부 조건은 일부 접힘과 그림자에 가려 다음 컷으로 넘긴다.</x:v>
      </x:c>
      <x:c r="J13" s="304" t="str">
        <x:v>소품의 실제 글씨 「강남역 지하상가」만 읽힌다. 별도 장소 자막 금지.</x:v>
      </x:c>
      <x:c r="K13" s="304" t="str">
        <x:v>무음. 종이를 보는 짧은 숨만 선택.</x:v>
      </x:c>
      <x:c r="L13" s="304" t="str">
        <x:v>스탠드의 낮은 황색과 죽은 CRT의 회백색. 화면 발광은 약하게 눌러 방을 네온처럼 물들이지 않는다. 초자연 발광은 없고, 마태오의 담배 끝은 완전히 어둡다.</x:v>
      </x:c>
      <x:c r="M13" s="304" t="str">
        <x:v>1회독에는 ‘다음 전장의 이름’을 먼저 본다. 의뢰·보수·마태오의 허브 기능을 소개</x:v>
      </x:c>
      <x:c r="N13" s="304" t="str">
        <x:v>후속 정보가 생기면 행동·배경의 의미를 재검토</x:v>
      </x:c>
      <x:c r="O13" s="304" t="str">
        <x:v>독자는 ‘선택 / 대가 / 침묵’를 설명이 아니라 황혼의 판단 언어로 체화한다.</x:v>
      </x:c>
      <x:c r="P13" s="304" t="str">
        <x:v>강남역 좌표·의뢰명이 허브에서 첫 출격을 여는 실제 계약서가 된다.</x:v>
      </x:c>
      <x:c r="Q13" s="304" t="str">
        <x:v>GLOBAL-VIS-01 / 장소명은 소품 글씨. 게임식 퀘스트 UI 금지.</x:v>
      </x:c>
      <x:c r="R13" s="304" t="str">
        <x:v>건조한 인물 연기와 생활 소품을 우선한다. 관계의 온도는 말보다 시선·등진 자세·불붙지 않은 담배로 만들고, 유머는 카인의 반응에서만 짧게 흘린다. 벤치마크 작품의 구도·표정·대사를 직접 복제하지 않는다.</x:v>
      </x:c>
      <x:c r="S13" s="323" t="str">
        <x:v>LOCKED_v1</x:v>
      </x:c>
    </x:row>
    <x:row r="14" ht="84" customHeight="1">
      <x:c r="A14" s="312" t="str">
        <x:v>146</x:v>
      </x:c>
      <x:c r="B14" s="304" t="str">
        <x:v>B. C 둘과 의뢰</x:v>
      </x:c>
      <x:c r="C14" s="304" t="str">
        <x:v>돈이 먼저 보이다</x:v>
      </x:c>
      <x:c r="D14" s="314" t="str">
        <x:v>64%</x:v>
      </x:c>
      <x:c r="E14" s="318" t="n">
        <x:v>400</x:v>
      </x:c>
      <x:c r="F14" s="318" t="n">
        <x:v>10</x:v>
      </x:c>
      <x:c r="G14" s="318" t="n">
        <x:v>20</x:v>
      </x:c>
      <x:c r="H14" s="304" t="str">
        <x:v>85mm CU, 카인의 눈과 금액란의 가장자리만 함께</x:v>
      </x:c>
      <x:c r="I14" s="304" t="str">
        <x:v>카인은 금액을 본 순간 눈만 한 단계 커지고 입은 아직 다물려 있다. 탐욕 개그가 아니라 생존 경제의 압박으로 보이게 한다.</x:v>
      </x:c>
      <x:c r="J14" s="304" t="str">
        <x:v>텍스트 없음. 금액은 소품 일부로만 보인다.</x:v>
      </x:c>
      <x:c r="K14" s="304" t="str">
        <x:v>카인의 숨이 한 박자 멎는다. 코믹 효과음 금지.</x:v>
      </x:c>
      <x:c r="L14" s="304" t="str">
        <x:v>스탠드의 낮은 황색과 죽은 CRT의 회백색. 화면 발광은 약하게 눌러 방을 네온처럼 물들이지 않는다. 초자연 발광은 없고, 마태오의 담배 끝은 완전히 어둡다.</x:v>
      </x:c>
      <x:c r="M14" s="304" t="str">
        <x:v>1회독에는 ‘돈이 먼저 보이다’을 먼저 본다. 의뢰·보수·마태오의 허브 기능을 소개</x:v>
      </x:c>
      <x:c r="N14" s="304" t="str">
        <x:v>후속 정보가 생기면 행동·배경의 의미를 재검토</x:v>
      </x:c>
      <x:c r="O14" s="304" t="str">
        <x:v>독자는 ‘선택 / 대가 / 침묵’를 설명이 아니라 황혼의 판단 언어로 체화한다.</x:v>
      </x:c>
      <x:c r="P14" s="304" t="str">
        <x:v>미션 선택·보수·허브 의뢰실</x:v>
      </x:c>
      <x:c r="Q14" s="304" t="str">
        <x:v>GLOBAL-VIS-01</x:v>
      </x:c>
      <x:c r="R14" s="304" t="str">
        <x:v>건조한 인물 연기와 생활 소품을 우선한다. 관계의 온도는 말보다 시선·등진 자세·불붙지 않은 담배로 만들고, 유머는 카인의 반응에서만 짧게 흘린다. 벤치마크 작품의 구도·표정·대사를 직접 복제하지 않는다.</x:v>
      </x:c>
      <x:c r="S14" s="323" t="str">
        <x:v>LOCKED_v1</x:v>
      </x:c>
    </x:row>
    <x:row r="15" ht="84" customHeight="1">
      <x:c r="A15" s="312" t="str">
        <x:v>147</x:v>
      </x:c>
      <x:c r="B15" s="304" t="str">
        <x:v>B. C 둘과 의뢰</x:v>
      </x:c>
      <x:c r="C15" s="304" t="str">
        <x:v>도장 전의 시험</x:v>
      </x:c>
      <x:c r="D15" s="314" t="str">
        <x:v>72%</x:v>
      </x:c>
      <x:c r="E15" s="318" t="n">
        <x:v>400</x:v>
      </x:c>
      <x:c r="F15" s="318" t="n">
        <x:v>20</x:v>
      </x:c>
      <x:c r="G15" s="318" t="n">
        <x:v>50</x:v>
      </x:c>
      <x:c r="H15" s="304" t="str">
        <x:v>65mm MS, 담배를 옮겨 무는 입과 서류를 가리키는 손</x:v>
      </x:c>
      <x:c r="I15" s="304" t="str">
        <x:v>담배를 입 한쪽에서 다른 쪽으로 옮기는 작은 동작 뒤, 마태오의 손가락이 훈련장 방향을 가리킨다. 말과 동작이 동시에 끝나지 않도록 반 박자 차를 둔다.</x:v>
      </x:c>
      <x:c r="J15" s="304" t="str">
        <x:v>「그전에.」와 「실기 본다.」를 한 말풍선 안 두 행으로 나눠, 담배 이동 뒤에 읽히게 한다.</x:v>
      </x:c>
      <x:c r="K15" s="304" t="str">
        <x:v>담배 종이가 입술에 스치는 마른 소리 후 대사.</x:v>
      </x:c>
      <x:c r="L15" s="304" t="str">
        <x:v>스탠드의 낮은 황색과 죽은 CRT의 회백색. 화면 발광은 약하게 눌러 방을 네온처럼 물들이지 않는다. 초자연 발광은 없고, 마태오의 담배 끝은 완전히 어둡다.</x:v>
      </x:c>
      <x:c r="M15" s="304" t="str">
        <x:v>1회독에는 ‘도장 전의 시험’을 먼저 본다. 의뢰·보수·마태오의 허브 기능을 소개</x:v>
      </x:c>
      <x:c r="N15" s="304" t="str">
        <x:v>후속 정보가 생기면 행동·배경의 의미를 재검토</x:v>
      </x:c>
      <x:c r="O15" s="304" t="str">
        <x:v>독자는 ‘선택 / 대가 / 침묵’를 설명이 아니라 황혼의 판단 언어로 체화한다.</x:v>
      </x:c>
      <x:c r="P15" s="304" t="str">
        <x:v>미션 선택·보수·허브 의뢰실</x:v>
      </x:c>
      <x:c r="Q15" s="304" t="str">
        <x:v>GLOBAL-VIS-01</x:v>
      </x:c>
      <x:c r="R15" s="304" t="str">
        <x:v>건조한 인물 연기와 생활 소품을 우선한다. 관계의 온도는 말보다 시선·등진 자세·불붙지 않은 담배로 만들고, 유머는 카인의 반응에서만 짧게 흘린다. 벤치마크 작품의 구도·표정·대사를 직접 복제하지 않는다.</x:v>
      </x:c>
      <x:c r="S15" s="323" t="str">
        <x:v>LOCKED_v1</x:v>
      </x:c>
    </x:row>
    <x:row r="16" ht="84" customHeight="1">
      <x:c r="A16" s="312" t="str">
        <x:v>148</x:v>
      </x:c>
      <x:c r="B16" s="304" t="str">
        <x:v>B. C 둘과 의뢰</x:v>
      </x:c>
      <x:c r="C16" s="304" t="str">
        <x:v>생각 못 한 절차</x:v>
      </x:c>
      <x:c r="D16" s="314" t="str">
        <x:v>64%</x:v>
      </x:c>
      <x:c r="E16" s="318" t="n">
        <x:v>380</x:v>
      </x:c>
      <x:c r="F16" s="318" t="n">
        <x:v>10</x:v>
      </x:c>
      <x:c r="G16" s="318" t="n">
        <x:v>20</x:v>
      </x:c>
      <x:c r="H16" s="304" t="str">
        <x:v>85mm CU, 카인의 정면 반응. 과장 없는 눈썹 움직임</x:v>
      </x:c>
      <x:c r="I16" s="304" t="str">
        <x:v>카인은 의뢰서에서 마태오로 시선을 올린다. 머리 전체를 뒤로 젖히거나 과장된 물음표 연출 없이 짧은 당혹만 남긴다.</x:v>
      </x:c>
      <x:c r="J16" s="304" t="str">
        <x:v>짧은 말풍선 하나. 「실기요?」 과장된 폰트·물음표 반복 금지.</x:v>
      </x:c>
      <x:c r="K16" s="304" t="str">
        <x:v>대사만. 물음표형 코믹 SFX 금지.</x:v>
      </x:c>
      <x:c r="L16" s="304" t="str">
        <x:v>스탠드의 낮은 황색과 죽은 CRT의 회백색. 화면 발광은 약하게 눌러 방을 네온처럼 물들이지 않는다. 초자연 발광은 없고, 마태오의 담배 끝은 완전히 어둡다.</x:v>
      </x:c>
      <x:c r="M16" s="304" t="str">
        <x:v>1회독에는 ‘생각 못 한 절차’을 먼저 본다. 의뢰·보수·마태오의 허브 기능을 소개</x:v>
      </x:c>
      <x:c r="N16" s="304" t="str">
        <x:v>후속 정보가 생기면 행동·배경의 의미를 재검토</x:v>
      </x:c>
      <x:c r="O16" s="304" t="str">
        <x:v>독자는 ‘선택 / 대가 / 침묵’를 설명이 아니라 황혼의 판단 언어로 체화한다.</x:v>
      </x:c>
      <x:c r="P16" s="304" t="str">
        <x:v>미션 선택·보수·허브 의뢰실</x:v>
      </x:c>
      <x:c r="Q16" s="304" t="str">
        <x:v>GLOBAL-VIS-01</x:v>
      </x:c>
      <x:c r="R16" s="304" t="str">
        <x:v>건조한 인물 연기와 생활 소품을 우선한다. 관계의 온도는 말보다 시선·등진 자세·불붙지 않은 담배로 만들고, 유머는 카인의 반응에서만 짧게 흘린다. 벤치마크 작품의 구도·표정·대사를 직접 복제하지 않는다.</x:v>
      </x:c>
      <x:c r="S16" s="323" t="str">
        <x:v>LOCKED_v1</x:v>
      </x:c>
    </x:row>
    <x:row r="17" ht="84" customHeight="1">
      <x:c r="A17" s="312" t="str">
        <x:v>149</x:v>
      </x:c>
      <x:c r="B17" s="304" t="str">
        <x:v>B. C 둘과 의뢰</x:v>
      </x:c>
      <x:c r="C17" s="304" t="str">
        <x:v>용병과 등록의 차이</x:v>
      </x:c>
      <x:c r="D17" s="314" t="str">
        <x:v>72%</x:v>
      </x:c>
      <x:c r="E17" s="318" t="n">
        <x:v>430</x:v>
      </x:c>
      <x:c r="F17" s="318" t="n">
        <x:v>20</x:v>
      </x:c>
      <x:c r="G17" s="318" t="n">
        <x:v>140</x:v>
      </x:c>
      <x:c r="H17" s="304" t="str">
        <x:v>45mm MS, 마태오가 일어서며 화면을 등진 채 출입구 쪽으로 몸을 돌리는 축</x:v>
      </x:c>
      <x:c r="I17" s="304" t="str">
        <x:v>마태오가 의자에서 일어나며 CRT와 가족 영상을 등진 자세를 끝까지 유지한다. 출입문 쪽으로 가는 동선이 다음 계단 컷과 이어진다.</x:v>
      </x:c>
      <x:c r="J17" s="304" t="str">
        <x:v>말풍선을 마태오 진행 방향 앞쪽에 둔다. 「등록만 하면 다 용병인 줄 알아.」</x:v>
      </x:c>
      <x:c r="K17" s="304" t="str">
        <x:v>의자에서 일어나는 가죽·바닥 마찰. CRT 영상은 계속 무음.</x:v>
      </x:c>
      <x:c r="L17" s="304" t="str">
        <x:v>스탠드의 낮은 황색과 죽은 CRT의 회백색. 화면 발광은 약하게 눌러 방을 네온처럼 물들이지 않는다. 초자연 발광은 없고, 마태오의 담배 끝은 완전히 어둡다.</x:v>
      </x:c>
      <x:c r="M17" s="304" t="str">
        <x:v>1회독에는 ‘용병과 등록의 차이’을 먼저 본다. 의뢰·보수·마태오의 허브 기능을 소개</x:v>
      </x:c>
      <x:c r="N17" s="304" t="str">
        <x:v>후속 정보가 생기면 행동·배경의 의미를 재검토</x:v>
      </x:c>
      <x:c r="O17" s="304" t="str">
        <x:v>독자는 ‘선택 / 대가 / 침묵’를 설명이 아니라 황혼의 판단 언어로 체화한다.</x:v>
      </x:c>
      <x:c r="P17" s="304" t="str">
        <x:v>미션 선택·보수·허브 의뢰실</x:v>
      </x:c>
      <x:c r="Q17" s="304" t="str">
        <x:v>GLOBAL-VIS-01 / 마태오는 끝까지 CRT를 보지 않는다.</x:v>
      </x:c>
      <x:c r="R17" s="304" t="str">
        <x:v>건조한 인물 연기와 생활 소품을 우선한다. 관계의 온도는 말보다 시선·등진 자세·불붙지 않은 담배로 만들고, 유머는 카인의 반응에서만 짧게 흘린다. 벤치마크 작품의 구도·표정·대사를 직접 복제하지 않는다.</x:v>
      </x:c>
      <x:c r="S17" s="323" t="str">
        <x:v>LOCKED_v1</x:v>
      </x:c>
    </x:row>
    <x:row r="18" ht="84" customHeight="1">
      <x:c r="A18" s="312" t="str">
        <x:v>150</x:v>
      </x:c>
      <x:c r="B18" s="304" t="str">
        <x:v>C. 아래로 내려가는 시험</x:v>
      </x:c>
      <x:c r="C18" s="304" t="str">
        <x:v>더 아래의 층</x:v>
      </x:c>
      <x:c r="D18" s="314" t="str">
        <x:v>96%</x:v>
      </x:c>
      <x:c r="E18" s="318" t="n">
        <x:v>900</x:v>
      </x:c>
      <x:c r="F18" s="318" t="n">
        <x:v>70</x:v>
      </x:c>
      <x:c r="G18" s="318" t="n">
        <x:v>30</x:v>
      </x:c>
      <x:c r="H18" s="304" t="str">
        <x:v>24mm HIGH-ANGLE VERTICAL, 계단 상단에서 아래로 사라지는 세 인물의 동선</x:v>
      </x:c>
      <x:c r="I18" s="304" t="str">
        <x:v>계단은 훈련장 바닥까지 한 번에 보이지 않는다. 마태오가 먼저, 아인이 다음, 카인이 반보 뒤 순으로 내려가며 수직 허브 구조를 체감시킨다.</x:v>
      </x:c>
      <x:c r="J18" s="304" t="str">
        <x:v>텍스트 없음. 층수·로딩 안내 자막 금지.</x:v>
      </x:c>
      <x:c r="K18" s="304" t="str">
        <x:v>계단 발소리가 아래로 길게 울린다. 세 사람의 무게 차이를 발음으로 구분한다.</x:v>
      </x:c>
      <x:c r="L18" s="304" t="str">
        <x:v>천장 형광의 무채도 냉백. 콘크리트와 짚은 저채도이며, 엠버는 아직 등장하지 않는다. 깨진 조명 때문에 바닥에 불균일한 명암만 남긴다.</x:v>
      </x:c>
      <x:c r="M18" s="304" t="str">
        <x:v>1회독에는 ‘더 아래의 층’을 먼저 본다. 훈련장·허수아비·문양을 통해 전투 튜토리얼을 준비</x:v>
      </x:c>
      <x:c r="N18" s="304" t="str">
        <x:v>후속 정보가 생기면 행동·배경의 의미를 재검토</x:v>
      </x:c>
      <x:c r="O18" s="304" t="str">
        <x:v>독자는 ‘선택 / 대가 / 침묵’를 설명이 아니라 황혼의 판단 언어로 체화한다.</x:v>
      </x:c>
      <x:c r="P18" s="304" t="str">
        <x:v>훈련장 진입·표적·관측창·보스 트리거</x:v>
      </x:c>
      <x:c r="Q18" s="304" t="str">
        <x:v>GLOBAL-VIS-01</x:v>
      </x:c>
      <x:c r="R18" s="304" t="str">
        <x:v>넓은 공간 가독성, 시험 직전의 정적, 무기의 중량감을 절충한다. 허수아비는 공포 소품처럼 과장하지 않고 평범함을 충분히 쌓아 이후 전환의 낙차를 만든다.</x:v>
      </x:c>
      <x:c r="S18" s="323" t="str">
        <x:v>LOCKED_v1</x:v>
      </x:c>
    </x:row>
    <x:row r="19" ht="84" customHeight="1">
      <x:c r="A19" s="312" t="str">
        <x:v>151</x:v>
      </x:c>
      <x:c r="B19" s="304" t="str">
        <x:v>C. 아래로 내려가는 시험</x:v>
      </x:c>
      <x:c r="C19" s="304" t="str">
        <x:v>비어 있는 전장</x:v>
      </x:c>
      <x:c r="D19" s="314" t="str">
        <x:v>96%</x:v>
      </x:c>
      <x:c r="E19" s="318" t="n">
        <x:v>1500</x:v>
      </x:c>
      <x:c r="F19" s="318" t="n">
        <x:v>50</x:v>
      </x:c>
      <x:c r="G19" s="318" t="n">
        <x:v>150</x:v>
      </x:c>
      <x:c r="H19" s="304" t="str">
        <x:v>18mm EWIDE BLEED, 높은 천장·깨진 형광등·텅 빈 바닥을 먼저 보여주고 인물은 하단에 작게</x:v>
      </x:c>
      <x:c r="I19" s="304" t="str">
        <x:v>천장과 빈 바닥이 화면 대부분을 차지한다. 세 사람은 하단 또는 계단 출구에 작게 두고, 소리가 먼저 공간 크기를 알려주게 한다.</x:v>
      </x:c>
      <x:c r="J19" s="304" t="str">
        <x:v>효과음 ‘웅—’을 천장 쪽에 길게 얇게 배치해 빈 공간을 먼저 읽게 한다.</x:v>
      </x:c>
      <x:c r="K19" s="304" t="str">
        <x:v>천장 형광등과 환기 장치의 ‘웅—’ 하나만 길게.</x:v>
      </x:c>
      <x:c r="L19" s="304" t="str">
        <x:v>천장 형광의 무채도 냉백. 콘크리트와 짚은 저채도이며, 엠버는 아직 등장하지 않는다. 깨진 조명 때문에 바닥에 불균일한 명암만 남긴다.</x:v>
      </x:c>
      <x:c r="M19" s="304" t="str">
        <x:v>1회독에는 ‘비어 있는 전장’을 먼저 본다. 훈련장·허수아비·문양을 통해 전투 튜토리얼을 준비</x:v>
      </x:c>
      <x:c r="N19" s="304" t="str">
        <x:v>시그니처 상징의 기원</x:v>
      </x:c>
      <x:c r="O19" s="304" t="str">
        <x:v>독자는 ‘선택 / 대가 / 침묵’를 설명이 아니라 황혼의 판단 언어로 체화한다.</x:v>
      </x:c>
      <x:c r="P19" s="304" t="str">
        <x:v>훈련장 진입·표적·관측창·보스 트리거</x:v>
      </x:c>
      <x:c r="Q19" s="304" t="str">
        <x:v>GLOBAL-VIS-01 / 도시·게임 UI·적 실루엣 추가 금지. 훈련장은 완전히 비어 있어야 한다.</x:v>
      </x:c>
      <x:c r="R19" s="304" t="str">
        <x:v>넓은 공간 가독성, 시험 직전의 정적, 무기의 중량감을 절충한다. 허수아비는 공포 소품처럼 과장하지 않고 평범함을 충분히 쌓아 이후 전환의 낙차를 만든다.</x:v>
      </x:c>
      <x:c r="S19" s="323" t="str">
        <x:v>LOCKED_v1</x:v>
      </x:c>
    </x:row>
    <x:row r="20" ht="84" customHeight="1">
      <x:c r="A20" s="312" t="str">
        <x:v>152</x:v>
      </x:c>
      <x:c r="B20" s="304" t="str">
        <x:v>C. 아래로 내려가는 시험</x:v>
      </x:c>
      <x:c r="C20" s="304" t="str">
        <x:v>한가운데 묶인 표적</x:v>
      </x:c>
      <x:c r="D20" s="314" t="str">
        <x:v>88%</x:v>
      </x:c>
      <x:c r="E20" s="318" t="n">
        <x:v>470</x:v>
      </x:c>
      <x:c r="F20" s="318" t="n">
        <x:v>20</x:v>
      </x:c>
      <x:c r="G20" s="318" t="n">
        <x:v>50</x:v>
      </x:c>
      <x:c r="H20" s="304" t="str">
        <x:v>28mm WIDE, 훈련장 중앙의 허수아비와 사방의 빈 바닥을 대칭 배치</x:v>
      </x:c>
      <x:c r="I20" s="304" t="str">
        <x:v>허수아비는 훈련장 정중앙에 있으나 영웅적 스포트라이트는 없다. 철사슬이 여섯 바퀴 감겨 있다는 사실은 셀 수 있을 정도로 읽히되 강조 자막은 쓰지 않는다.</x:v>
      </x:c>
      <x:c r="J20" s="304" t="str">
        <x:v>텍스트 없음.</x:v>
      </x:c>
      <x:c r="K20" s="304" t="str">
        <x:v>사슬이 아주 약하게 흔들리는 금속음. 공포 음악 금지.</x:v>
      </x:c>
      <x:c r="L20" s="304" t="str">
        <x:v>천장 형광의 무채도 냉백. 콘크리트와 짚은 저채도이며, 엠버는 아직 등장하지 않는다. 깨진 조명 때문에 바닥에 불균일한 명암만 남긴다.</x:v>
      </x:c>
      <x:c r="M20" s="304" t="str">
        <x:v>1회독에는 ‘한가운데 묶인 표적’을 먼저 본다. 훈련장·허수아비·문양을 통해 전투 튜토리얼을 준비</x:v>
      </x:c>
      <x:c r="N20" s="304" t="str">
        <x:v>후속 정보가 생기면 행동·배경의 의미를 재검토</x:v>
      </x:c>
      <x:c r="O20" s="304" t="str">
        <x:v>독자는 ‘선택 / 대가 / 침묵’를 설명이 아니라 황혼의 판단 언어로 체화한다.</x:v>
      </x:c>
      <x:c r="P20" s="304" t="str">
        <x:v>훈련장 진입·표적·관측창·보스 트리거</x:v>
      </x:c>
      <x:c r="Q20" s="304" t="str">
        <x:v>GLOBAL-VIS-01</x:v>
      </x:c>
      <x:c r="R20" s="304" t="str">
        <x:v>넓은 공간 가독성, 시험 직전의 정적, 무기의 중량감을 절충한다. 허수아비는 공포 소품처럼 과장하지 않고 평범함을 충분히 쌓아 이후 전환의 낙차를 만든다.</x:v>
      </x:c>
      <x:c r="S20" s="323" t="str">
        <x:v>LOCKED_v1</x:v>
      </x:c>
    </x:row>
    <x:row r="21" ht="84" customHeight="1">
      <x:c r="A21" s="312" t="str">
        <x:v>153</x:v>
      </x:c>
      <x:c r="B21" s="304" t="str">
        <x:v>C. 아래로 내려가는 시험</x:v>
      </x:c>
      <x:c r="C21" s="304" t="str">
        <x:v>사람보다 큰 짚단</x:v>
      </x:c>
      <x:c r="D21" s="314" t="str">
        <x:v>72%</x:v>
      </x:c>
      <x:c r="E21" s="318" t="n">
        <x:v>430</x:v>
      </x:c>
      <x:c r="F21" s="318" t="n">
        <x:v>10</x:v>
      </x:c>
      <x:c r="G21" s="318" t="n">
        <x:v>20</x:v>
      </x:c>
      <x:c r="H21" s="304" t="str">
        <x:v>55mm MS LOW, 허수아비 하단부터 위로 올려 사람보다 큰 3m 높이를 체감</x:v>
      </x:c>
      <x:c r="I21" s="304" t="str">
        <x:v>짚이 삐져나오고 나무 뼈대가 기울어진 평범한 표적처럼 보이게 한다. 철사와 체격만 ‘조금 지나치다’는 정도로 남긴다.</x:v>
      </x:c>
      <x:c r="J21" s="304" t="str">
        <x:v>텍스트 없음. ‘3m’ 수치 자막은 넣지 않고 인물 대비로 체감시킨다.</x:v>
      </x:c>
      <x:c r="K21" s="304" t="str">
        <x:v>짚이 마른 공기에 스치는 소리.</x:v>
      </x:c>
      <x:c r="L21" s="304" t="str">
        <x:v>천장 형광의 무채도 냉백. 콘크리트와 짚은 저채도이며, 엠버는 아직 등장하지 않는다. 깨진 조명 때문에 바닥에 불균일한 명암만 남긴다.</x:v>
      </x:c>
      <x:c r="M21" s="304" t="str">
        <x:v>1회독에는 ‘사람보다 큰 짚단’을 먼저 본다. 훈련장·허수아비·문양을 통해 전투 튜토리얼을 준비</x:v>
      </x:c>
      <x:c r="N21" s="304" t="str">
        <x:v>후속 정보가 생기면 행동·배경의 의미를 재검토</x:v>
      </x:c>
      <x:c r="O21" s="304" t="str">
        <x:v>독자는 ‘선택 / 대가 / 침묵’를 설명이 아니라 황혼의 판단 언어로 체화한다.</x:v>
      </x:c>
      <x:c r="P21" s="304" t="str">
        <x:v>훈련장 진입·표적·관측창·보스 트리거</x:v>
      </x:c>
      <x:c r="Q21" s="304" t="str">
        <x:v>GLOBAL-VIS-01</x:v>
      </x:c>
      <x:c r="R21" s="304" t="str">
        <x:v>넓은 공간 가독성, 시험 직전의 정적, 무기의 중량감을 절충한다. 허수아비는 공포 소품처럼 과장하지 않고 평범함을 충분히 쌓아 이후 전환의 낙차를 만든다.</x:v>
      </x:c>
      <x:c r="S21" s="323" t="str">
        <x:v>LOCKED_v1</x:v>
      </x:c>
    </x:row>
    <x:row r="22" ht="84" customHeight="1">
      <x:c r="A22" s="312" t="str">
        <x:v>154</x:v>
      </x:c>
      <x:c r="B22" s="304" t="str">
        <x:v>C. 아래로 내려가는 시험</x:v>
      </x:c>
      <x:c r="C22" s="304" t="str">
        <x:v>밟고도 모르는 문양</x:v>
      </x:c>
      <x:c r="D22" s="314" t="str">
        <x:v>56%</x:v>
      </x:c>
      <x:c r="E22" s="318" t="n">
        <x:v>400</x:v>
      </x:c>
      <x:c r="F22" s="318" t="n">
        <x:v>5</x:v>
      </x:c>
      <x:c r="G22" s="318" t="n">
        <x:v>20</x:v>
      </x:c>
      <x:c r="H22" s="304" t="str">
        <x:v>120mm TOP-DOWN INSERT, 짚단 발밑 먼지와 균열 속 문양 일부만</x:v>
      </x:c>
      <x:c r="I22" s="304" t="str">
        <x:v>문양은 먼지·흙·매트 가장자리에 반쯤 묻혀 원 전체가 보이지 않는다. 인물 발이 지나가도 누구도 시선을 주지 않는다.</x:v>
      </x:c>
      <x:c r="J22" s="304" t="str">
        <x:v>텍스트 없음. 문양에 이름·룬 해석·강조 원을 넣지 않는다.</x:v>
      </x:c>
      <x:c r="K22" s="304" t="str">
        <x:v>아무 반응음 없음. 문양은 아직 ‘소리 없는 배경’이어야 한다.</x:v>
      </x:c>
      <x:c r="L22" s="304" t="str">
        <x:v>천장 형광의 무채도 냉백. 콘크리트와 짚은 저채도이며, 엠버는 아직 등장하지 않는다. 깨진 조명 때문에 바닥에 불균일한 명암만 남긴다.</x:v>
      </x:c>
      <x:c r="M22" s="304" t="str">
        <x:v>평범한 허수아비 발밑에 오래된 문양이 있지만 아무도 보지 않는다는 정보가 스쳐 간다.</x:v>
      </x:c>
      <x:c r="N22" s="304" t="str">
        <x:v>문양이 발현 원인인지 봉인인지 측정 흔적인지 확정되지 않는다. 이후 유사 문양을 발견해도 하나의 답보다 세계의 오래된 층위로 읽힌다.</x:v>
      </x:c>
      <x:c r="O22" s="304" t="str">
        <x:v>독자는 ‘거리 / 보호 / 선택 / 박자’를 설명이 아니라 황혼의 판단 언어로 체화한다.</x:v>
      </x:c>
      <x:c r="P22" s="304" t="str">
        <x:v>OPEN 환경 단서. 조사 가능 여부와 무관하게 보스 트리거의 정답 아이콘으로 만들지 않는다.</x:v>
      </x:c>
      <x:c r="Q22" s="304" t="str">
        <x:v>복선 강조 금지 / GLOBAL-VIS-01 / OPEN / INDETERMINATE. 문양은 반쯤 묻히고 강조·줌·반응음 금지. 원인·봉인·측정 장치 중 하나로 확정하지 않는다.</x:v>
      </x:c>
      <x:c r="R22" s="304" t="str">
        <x:v>넓은 공간 가독성, 시험 직전의 정적, 무기의 중량감을 절충한다. 허수아비는 공포 소품처럼 과장하지 않고 평범함을 충분히 쌓아 이후 전환의 낙차를 만든다.</x:v>
      </x:c>
      <x:c r="S22" s="323" t="str">
        <x:v>LOCKED_v1</x:v>
      </x:c>
    </x:row>
    <x:row r="23" ht="84" customHeight="1">
      <x:c r="A23" s="312" t="str">
        <x:v>155</x:v>
      </x:c>
      <x:c r="B23" s="304" t="str">
        <x:v>C. 아래로 내려가는 시험</x:v>
      </x:c>
      <x:c r="C23" s="304" t="str">
        <x:v>한 단어의 지시</x:v>
      </x:c>
      <x:c r="D23" s="314" t="str">
        <x:v>72%</x:v>
      </x:c>
      <x:c r="E23" s="318" t="n">
        <x:v>430</x:v>
      </x:c>
      <x:c r="F23" s="318" t="n">
        <x:v>10</x:v>
      </x:c>
      <x:c r="G23" s="318" t="n">
        <x:v>20</x:v>
      </x:c>
      <x:c r="H23" s="304" t="str">
        <x:v>55mm MS, 마태오가 관측창으로 멀어지는 뒷모습</x:v>
      </x:c>
      <x:c r="I23" s="304" t="str">
        <x:v>마태오는 관측창 쪽으로 걸어가며 손만 가볍게 내민다. 지시가 중요해 보이도록 멈춰 서거나 돌아보지 않는다.</x:v>
      </x:c>
      <x:c r="J23" s="304" t="str">
        <x:v>「쳐라.」 한 단어를 작고 단단한 말풍선으로, 마태오보다 허수아비 쪽 가까이에 둔다.</x:v>
      </x:c>
      <x:c r="K23" s="304" t="str">
        <x:v>마태오 발소리와 대사 한 단어.</x:v>
      </x:c>
      <x:c r="L23" s="304" t="str">
        <x:v>천장 형광의 무채도 냉백. 콘크리트와 짚은 저채도이며, 엠버는 아직 등장하지 않는다. 깨진 조명 때문에 바닥에 불균일한 명암만 남긴다.</x:v>
      </x:c>
      <x:c r="M23" s="304" t="str">
        <x:v>1회독에는 ‘한 단어의 지시’을 먼저 본다. 훈련장·허수아비·문양을 통해 전투 튜토리얼을 준비</x:v>
      </x:c>
      <x:c r="N23" s="304" t="str">
        <x:v>후속 정보가 생기면 행동·배경의 의미를 재검토</x:v>
      </x:c>
      <x:c r="O23" s="304" t="str">
        <x:v>독자는 ‘선택 / 대가 / 침묵’를 설명이 아니라 황혼의 판단 언어로 체화한다.</x:v>
      </x:c>
      <x:c r="P23" s="304" t="str">
        <x:v>훈련장 진입·표적·관측창·보스 트리거</x:v>
      </x:c>
      <x:c r="Q23" s="304" t="str">
        <x:v>GLOBAL-VIS-01</x:v>
      </x:c>
      <x:c r="R23" s="304" t="str">
        <x:v>넓은 공간 가독성, 시험 직전의 정적, 무기의 중량감을 절충한다. 허수아비는 공포 소품처럼 과장하지 않고 평범함을 충분히 쌓아 이후 전환의 낙차를 만든다.</x:v>
      </x:c>
      <x:c r="S23" s="323" t="str">
        <x:v>LOCKED_v1</x:v>
      </x:c>
    </x:row>
    <x:row r="24" ht="84" customHeight="1">
      <x:c r="A24" s="312" t="str">
        <x:v>156</x:v>
      </x:c>
      <x:c r="B24" s="304" t="str">
        <x:v>C. 아래로 내려가는 시험</x:v>
      </x:c>
      <x:c r="C24" s="304" t="str">
        <x:v>30만 원을 바라보다</x:v>
      </x:c>
      <x:c r="D24" s="314" t="str">
        <x:v>64%</x:v>
      </x:c>
      <x:c r="E24" s="318" t="n">
        <x:v>400</x:v>
      </x:c>
      <x:c r="F24" s="318" t="n">
        <x:v>10</x:v>
      </x:c>
      <x:c r="G24" s="318" t="n">
        <x:v>20</x:v>
      </x:c>
      <x:c r="H24" s="304" t="str">
        <x:v>85mm CU, 카인의 시선이 허수아비와 마태오 사이를 오가는 반응</x:v>
      </x:c>
      <x:c r="I24" s="304" t="str">
        <x:v>카인은 허수아비를 다시 보고 손가락으로 자기 가슴을 가리키려다 멈춘다. 말풍선만으로 반응을 끝낸다.</x:v>
      </x:c>
      <x:c r="J24" s="304" t="str">
        <x:v>짧은 말풍선 「저 짚단을요?」를 카인 머리 위에 두되 코믹 흔들림 금지.</x:v>
      </x:c>
      <x:c r="K24" s="304" t="str">
        <x:v>카인 대사 뒤 긴 공간 잔향.</x:v>
      </x:c>
      <x:c r="L24" s="304" t="str">
        <x:v>천장 형광의 무채도 냉백. 콘크리트와 짚은 저채도이며, 엠버는 아직 등장하지 않는다. 깨진 조명 때문에 바닥에 불균일한 명암만 남긴다.</x:v>
      </x:c>
      <x:c r="M24" s="304" t="str">
        <x:v>1회독에는 ‘30만 원을 바라보다’을 먼저 본다. 훈련장·허수아비·문양을 통해 전투 튜토리얼을 준비</x:v>
      </x:c>
      <x:c r="N24" s="304" t="str">
        <x:v>후속 정보가 생기면 행동·배경의 의미를 재검토</x:v>
      </x:c>
      <x:c r="O24" s="304" t="str">
        <x:v>독자는 ‘선택 / 대가 / 침묵’를 설명이 아니라 황혼의 판단 언어로 체화한다.</x:v>
      </x:c>
      <x:c r="P24" s="304" t="str">
        <x:v>훈련장 진입·표적·관측창·보스 트리거</x:v>
      </x:c>
      <x:c r="Q24" s="304" t="str">
        <x:v>GLOBAL-VIS-01</x:v>
      </x:c>
      <x:c r="R24" s="304" t="str">
        <x:v>넓은 공간 가독성, 시험 직전의 정적, 무기의 중량감을 절충한다. 허수아비는 공포 소품처럼 과장하지 않고 평범함을 충분히 쌓아 이후 전환의 낙차를 만든다.</x:v>
      </x:c>
      <x:c r="S24" s="323" t="str">
        <x:v>LOCKED_v1</x:v>
      </x:c>
    </x:row>
    <x:row r="25" ht="84" customHeight="1">
      <x:c r="A25" s="312" t="str">
        <x:v>157</x:v>
      </x:c>
      <x:c r="B25" s="304" t="str">
        <x:v>C. 아래로 내려가는 시험</x:v>
      </x:c>
      <x:c r="C25" s="304" t="str">
        <x:v>살살이라는 경고</x:v>
      </x:c>
      <x:c r="D25" s="314" t="str">
        <x:v>72%</x:v>
      </x:c>
      <x:c r="E25" s="318" t="n">
        <x:v>400</x:v>
      </x:c>
      <x:c r="F25" s="318" t="n">
        <x:v>10</x:v>
      </x:c>
      <x:c r="G25" s="318" t="n">
        <x:v>100</x:v>
      </x:c>
      <x:c r="H25" s="304" t="str">
        <x:v>65mm REAR MS, 돌아보지 않는 마태오의 어깨 너머로 허수아비</x:v>
      </x:c>
      <x:c r="I25" s="304" t="str">
        <x:v>마태오의 뒷모습은 작아지고, ‘30만 원’이라는 생활 단위가 큰 훈련장 안에서 유일한 인간적 척도가 된다.</x:v>
      </x:c>
      <x:c r="J25" s="304" t="str">
        <x:v>두 문장을 한 말풍선에 위아래로 둔다. 「30만 원짜리다. / 살살.」 ‘30만 원’을 크게 강조하지 않는다.</x:v>
      </x:c>
      <x:c r="K25" s="304" t="str">
        <x:v>마태오 대사. ‘30만 원’에 효과음·코믹 브라스 금지.</x:v>
      </x:c>
      <x:c r="L25" s="304" t="str">
        <x:v>천장 형광의 무채도 냉백. 콘크리트와 짚은 저채도이며, 엠버는 아직 등장하지 않는다. 깨진 조명 때문에 바닥에 불균일한 명암만 남긴다.</x:v>
      </x:c>
      <x:c r="M25" s="304" t="str">
        <x:v>1회독에는 ‘살살이라는 경고’을 먼저 본다. 훈련장·허수아비·문양을 통해 전투 튜토리얼을 준비</x:v>
      </x:c>
      <x:c r="N25" s="304" t="str">
        <x:v>후속 정보가 생기면 행동·배경의 의미를 재검토</x:v>
      </x:c>
      <x:c r="O25" s="304" t="str">
        <x:v>독자는 ‘선택 / 대가 / 침묵’를 설명이 아니라 황혼의 판단 언어로 체화한다.</x:v>
      </x:c>
      <x:c r="P25" s="304" t="str">
        <x:v>훈련장 진입·표적·관측창·보스 트리거</x:v>
      </x:c>
      <x:c r="Q25" s="304" t="str">
        <x:v>GLOBAL-VIS-01</x:v>
      </x:c>
      <x:c r="R25" s="304" t="str">
        <x:v>넓은 공간 가독성, 시험 직전의 정적, 무기의 중량감을 절충한다. 허수아비는 공포 소품처럼 과장하지 않고 평범함을 충분히 쌓아 이후 전환의 낙차를 만든다.</x:v>
      </x:c>
      <x:c r="S25" s="323" t="str">
        <x:v>LOCKED_v1</x:v>
      </x:c>
    </x:row>
    <x:row r="26" ht="84" customHeight="1">
      <x:c r="A26" s="312" t="str">
        <x:v>158</x:v>
      </x:c>
      <x:c r="B26" s="304" t="str">
        <x:v>D. 반보와 간격</x:v>
      </x:c>
      <x:c r="C26" s="304" t="str">
        <x:v>첫 합의 거리</x:v>
      </x:c>
      <x:c r="D26" s="314" t="str">
        <x:v>88%</x:v>
      </x:c>
      <x:c r="E26" s="318" t="n">
        <x:v>470</x:v>
      </x:c>
      <x:c r="F26" s="318" t="n">
        <x:v>20</x:v>
      </x:c>
      <x:c r="G26" s="318" t="n">
        <x:v>50</x:v>
      </x:c>
      <x:c r="H26" s="304" t="str">
        <x:v>28mm WIDE, 허수아비 중앙·아인 왼쪽·카인 반보 뒤 오른쪽</x:v>
      </x:c>
      <x:c r="I26" s="304" t="str">
        <x:v>아인은 허수아비 정면보다 살짝 왼쪽, 카인은 반보 뒤 오른쪽에 선다. 두 무기의 궤적이 서로 겹치지 않는 기본 위치를 명확히 한다.</x:v>
      </x:c>
      <x:c r="J26" s="304" t="str">
        <x:v>텍스트 없음.</x:v>
      </x:c>
      <x:c r="K26" s="304" t="str">
        <x:v>두 사람이 자리 잡는 부츠 마찰.</x:v>
      </x:c>
      <x:c r="L26" s="304" t="str">
        <x:v>천장 형광의 무채도 냉백. 콘크리트와 짚은 저채도이며, 엠버는 아직 등장하지 않는다. 깨진 조명 때문에 바닥에 불균일한 명암만 남긴다.</x:v>
      </x:c>
      <x:c r="M26" s="304" t="str">
        <x:v>1회독에는 ‘첫 합의 거리’을 먼저 본다. 훈련장·허수아비·문양을 통해 전투 튜토리얼을 준비</x:v>
      </x:c>
      <x:c r="N26" s="304" t="str">
        <x:v>후속 정보가 생기면 행동·배경의 의미를 재검토</x:v>
      </x:c>
      <x:c r="O26" s="304" t="str">
        <x:v>독자는 ‘선택 / 대가 / 침묵’를 설명이 아니라 황혼의 판단 언어로 체화한다.</x:v>
      </x:c>
      <x:c r="P26" s="304" t="str">
        <x:v>훈련장 진입·표적·관측창·보스 트리거</x:v>
      </x:c>
      <x:c r="Q26" s="304" t="str">
        <x:v>GLOBAL-VIS-01 / 아인 앞, 카인 반보 뒤. 무기 궤적이 겹치지 않는 기본 포지션.</x:v>
      </x:c>
      <x:c r="R26" s="304" t="str">
        <x:v>넓은 공간 가독성, 시험 직전의 정적, 무기의 중량감을 절충한다. 허수아비는 공포 소품처럼 과장하지 않고 평범함을 충분히 쌓아 이후 전환의 낙차를 만든다.</x:v>
      </x:c>
      <x:c r="S26" s="323" t="str">
        <x:v>LOCKED_v1</x:v>
      </x:c>
    </x:row>
    <x:row r="27" ht="84" customHeight="1">
      <x:c r="A27" s="312" t="str">
        <x:v>159</x:v>
      </x:c>
      <x:c r="B27" s="304" t="str">
        <x:v>D. 반보와 간격</x:v>
      </x:c>
      <x:c r="C27" s="304" t="str">
        <x:v>낫의 손</x:v>
      </x:c>
      <x:c r="D27" s="314" t="str">
        <x:v>64%</x:v>
      </x:c>
      <x:c r="E27" s="318" t="n">
        <x:v>400</x:v>
      </x:c>
      <x:c r="F27" s="318" t="n">
        <x:v>10</x:v>
      </x:c>
      <x:c r="G27" s="318" t="n">
        <x:v>20</x:v>
      </x:c>
      <x:c r="H27" s="304" t="str">
        <x:v>100mm CU, 오른손 건틀릿과 낫자루의 그립</x:v>
      </x:c>
      <x:c r="I27" s="304" t="str">
        <x:v>아인의 오른손 건틀릿이 낫자루를 조이고, 왼쪽 견갑 장비는 프레임 반대편에 정확히 유지된다. 손목 각도로 원의 시작점을 암시한다.</x:v>
      </x:c>
      <x:c r="J27" s="304" t="str">
        <x:v>텍스트 없음.</x:v>
      </x:c>
      <x:c r="K27" s="304" t="str">
        <x:v>건틀릿과 낫자루가 맞물리는 낮은 금속음.</x:v>
      </x:c>
      <x:c r="L27" s="304" t="str">
        <x:v>천장 형광의 무채도 냉백. 콘크리트와 짚은 저채도이며, 엠버는 아직 등장하지 않는다. 깨진 조명 때문에 바닥에 불균일한 명암만 남긴다.</x:v>
      </x:c>
      <x:c r="M27" s="304" t="str">
        <x:v>1회독에는 ‘낫의 손’을 먼저 본다. 훈련장·허수아비·문양을 통해 전투 튜토리얼을 준비</x:v>
      </x:c>
      <x:c r="N27" s="304" t="str">
        <x:v>후속 정보가 생기면 행동·배경의 의미를 재검토</x:v>
      </x:c>
      <x:c r="O27" s="304" t="str">
        <x:v>독자는 ‘거리 / 박자 / 원’를 설명이 아니라 황혼의 판단 언어로 체화한다.</x:v>
      </x:c>
      <x:c r="P27" s="304" t="str">
        <x:v>훈련장 진입·표적·관측창·보스 트리거</x:v>
      </x:c>
      <x:c r="Q27" s="304" t="str">
        <x:v>아인 왼쪽 견갑·오른쪽 건틀릿 좌우 고정 / GLOBAL-VIS-01 / 아인 왼쪽 견갑·오른쪽 건틀릿. 좌우 반전 금지.</x:v>
      </x:c>
      <x:c r="R27" s="304" t="str">
        <x:v>넓은 공간 가독성, 시험 직전의 정적, 무기의 중량감을 절충한다. 허수아비는 공포 소품처럼 과장하지 않고 평범함을 충분히 쌓아 이후 전환의 낙차를 만든다.</x:v>
      </x:c>
      <x:c r="S27" s="323" t="str">
        <x:v>LOCKED_v1</x:v>
      </x:c>
    </x:row>
    <x:row r="28" ht="84" customHeight="1">
      <x:c r="A28" s="312" t="str">
        <x:v>160</x:v>
      </x:c>
      <x:c r="B28" s="304" t="str">
        <x:v>D. 반보와 간격</x:v>
      </x:c>
      <x:c r="C28" s="304" t="str">
        <x:v>반보 재확인</x:v>
      </x:c>
      <x:c r="D28" s="314" t="str">
        <x:v>56%</x:v>
      </x:c>
      <x:c r="E28" s="318" t="n">
        <x:v>340</x:v>
      </x:c>
      <x:c r="F28" s="318" t="n">
        <x:v>10</x:v>
      </x:c>
      <x:c r="G28" s="318" t="n">
        <x:v>20</x:v>
      </x:c>
      <x:c r="H28" s="304" t="str">
        <x:v>120mm INSERT, 두 쌍의 부츠와 정확한 반보 간격</x:v>
      </x:c>
      <x:c r="I28" s="304" t="str">
        <x:v>두 부츠의 앞코 방향까지 보여준다. 카인의 발이 아인 옆으로 나오지 않으며, 반보가 전투 포지션으로도 반복됨을 설명 없이 각인한다.</x:v>
      </x:c>
      <x:c r="J28" s="304" t="str">
        <x:v>텍스트 없음.</x:v>
      </x:c>
      <x:c r="K28" s="304" t="str">
        <x:v>부츠 밑창이 바닥에 고정되는 짧은 마찰. 별도 강조음 없음.</x:v>
      </x:c>
      <x:c r="L28" s="304" t="str">
        <x:v>천장 형광의 무채도 냉백. 콘크리트와 짚은 저채도이며, 엠버는 아직 등장하지 않는다. 깨진 조명 때문에 바닥에 불균일한 명암만 남긴다.</x:v>
      </x:c>
      <x:c r="M28" s="304" t="str">
        <x:v>1회독에는 ‘반보 재확인’을 먼저 본다. 훈련장·허수아비·문양을 통해 전투 튜토리얼을 준비</x:v>
      </x:c>
      <x:c r="N28" s="304" t="str">
        <x:v>반보가 옥상 습관이 아니라 전투 시작 위치에서도 반복되는 보호의 문법임을 발견한다.</x:v>
      </x:c>
      <x:c r="O28" s="304" t="str">
        <x:v>독자는 ‘거리 / 보호 / 선택’를 설명이 아니라 황혼의 판단 언어로 체화한다.</x:v>
      </x:c>
      <x:c r="P28" s="304" t="str">
        <x:v>AI 동료 카인의 기본 포메이션 또는 교대 전 위치가 반보 뒤로 일관되게 보이게 한다.</x:v>
      </x:c>
      <x:c r="Q28" s="304" t="str">
        <x:v>대사 금지 또는 응답 없는 침묵 유지 / 카인 반보 뒤 / 두 사람 발 프레임 포함 / GLOBAL-VIS-01 / 반보 차이와 두 쌍의 발 필수. 설명 대사 금지.</x:v>
      </x:c>
      <x:c r="R28" s="304" t="str">
        <x:v>넓은 공간 가독성, 시험 직전의 정적, 무기의 중량감을 절충한다. 허수아비는 공포 소품처럼 과장하지 않고 평범함을 충분히 쌓아 이후 전환의 낙차를 만든다.</x:v>
      </x:c>
      <x:c r="S28" s="323" t="str">
        <x:v>LOCKED_v1</x:v>
      </x:c>
    </x:row>
    <x:row r="29" ht="84" customHeight="1">
      <x:c r="A29" s="312" t="str">
        <x:v>161</x:v>
      </x:c>
      <x:c r="B29" s="304" t="str">
        <x:v>D. 반보와 간격</x:v>
      </x:c>
      <x:c r="C29" s="304" t="str">
        <x:v>대검을 내리는 무게</x:v>
      </x:c>
      <x:c r="D29" s="314" t="str">
        <x:v>72%</x:v>
      </x:c>
      <x:c r="E29" s="318" t="n">
        <x:v>430</x:v>
      </x:c>
      <x:c r="F29" s="318" t="n">
        <x:v>10</x:v>
      </x:c>
      <x:c r="G29" s="318" t="n">
        <x:v>20</x:v>
      </x:c>
      <x:c r="H29" s="304" t="str">
        <x:v>50mm MS LOW, 카인이 대검을 어깨에서 내리는 궤적과 바닥까지</x:v>
      </x:c>
      <x:c r="I29" s="304" t="str">
        <x:v>카인은 대검을 바닥으로 완전히 내려놓지 않고 공격 궤적을 만들기 위한 낮은 준비 자세에 둔다. 손에 과도한 힘줄을 세우지 않는다.</x:v>
      </x:c>
      <x:c r="J29" s="304" t="str">
        <x:v>텍스트 없음.</x:v>
      </x:c>
      <x:c r="K29" s="304" t="str">
        <x:v>대검이 공기를 누르는 낮은 금속 울림.</x:v>
      </x:c>
      <x:c r="L29" s="304" t="str">
        <x:v>천장 형광의 무채도 냉백. 콘크리트와 짚은 저채도이며, 엠버는 아직 등장하지 않는다. 깨진 조명 때문에 바닥에 불균일한 명암만 남긴다.</x:v>
      </x:c>
      <x:c r="M29" s="304" t="str">
        <x:v>1회독에는 ‘대검을 내리는 무게’을 먼저 본다. 훈련장·허수아비·문양을 통해 전투 튜토리얼을 준비</x:v>
      </x:c>
      <x:c r="N29" s="304" t="str">
        <x:v>후속 정보가 생기면 행동·배경의 의미를 재검토</x:v>
      </x:c>
      <x:c r="O29" s="304" t="str">
        <x:v>독자는 ‘선택 / 대가 / 침묵’를 설명이 아니라 황혼의 판단 언어로 체화한다.</x:v>
      </x:c>
      <x:c r="P29" s="304" t="str">
        <x:v>훈련장 진입·표적·관측창·보스 트리거</x:v>
      </x:c>
      <x:c r="Q29" s="304" t="str">
        <x:v>GLOBAL-VIS-01</x:v>
      </x:c>
      <x:c r="R29" s="304" t="str">
        <x:v>넓은 공간 가독성, 시험 직전의 정적, 무기의 중량감을 절충한다. 허수아비는 공포 소품처럼 과장하지 않고 평범함을 충분히 쌓아 이후 전환의 낙차를 만든다.</x:v>
      </x:c>
      <x:c r="S29" s="323" t="str">
        <x:v>LOCKED_v1</x:v>
      </x:c>
    </x:row>
    <x:row r="30" ht="84" customHeight="1">
      <x:c r="A30" s="312" t="str">
        <x:v>162</x:v>
      </x:c>
      <x:c r="B30" s="304" t="str">
        <x:v>D. 반보와 간격</x:v>
      </x:c>
      <x:c r="C30" s="304" t="str">
        <x:v>가운데 남겨 둔 간격</x:v>
      </x:c>
      <x:c r="D30" s="314" t="str">
        <x:v>88%</x:v>
      </x:c>
      <x:c r="E30" s="318" t="n">
        <x:v>470</x:v>
      </x:c>
      <x:c r="F30" s="318" t="n">
        <x:v>20</x:v>
      </x:c>
      <x:c r="G30" s="318" t="n">
        <x:v>140</x:v>
      </x:c>
      <x:c r="H30" s="304" t="str">
        <x:v>24mm WIDE, 인물과 허수아비 사이의 빈 공간을 화면 정중앙에</x:v>
      </x:c>
      <x:c r="I30" s="304" t="str">
        <x:v>아인·카인과 허수아비 사이의 빈 바닥을 가장 큰 면적으로 둔다. 이 빈칸이 곧 앞으로 학습할 ‘거리’임을 시각적으로 준비한다.</x:v>
      </x:c>
      <x:c r="J30" s="304" t="str">
        <x:v>텍스트 없음. 가운데 빈 공간을 말풍선으로 채우지 않는다.</x:v>
      </x:c>
      <x:c r="K30" s="304" t="str">
        <x:v>공간의 ‘웅—’만. 가운데 빈 거리에는 어떤 소리도 없다.</x:v>
      </x:c>
      <x:c r="L30" s="304" t="str">
        <x:v>천장 형광의 무채도 냉백. 콘크리트와 짚은 저채도이며, 엠버는 아직 등장하지 않는다. 깨진 조명 때문에 바닥에 불균일한 명암만 남긴다.</x:v>
      </x:c>
      <x:c r="M30" s="304" t="str">
        <x:v>싸움이 시작되기 전 가장 중요한 것이 인물보다 가운데의 빈 거리라는 감각을 얻는다.</x:v>
      </x:c>
      <x:c r="N30" s="304" t="str">
        <x:v>침묵한 반응의 이유를 후발 정보로 다시 읽음</x:v>
      </x:c>
      <x:c r="O30" s="304" t="str">
        <x:v>독자는 ‘선택 / 대가 / 침묵’를 설명이 아니라 황혼의 판단 언어로 체화한다.</x:v>
      </x:c>
      <x:c r="P30" s="304" t="str">
        <x:v>훈련장의 빈 간격이 거리 관리 튜토리얼 공간이 된다.</x:v>
      </x:c>
      <x:c r="Q30" s="304" t="str">
        <x:v>대사 금지 또는 응답 없는 침묵 유지 / GLOBAL-VIS-01 / 가운데 빈 거리 유지. 말풍선·장식으로 채우지 않는다.</x:v>
      </x:c>
      <x:c r="R30" s="304" t="str">
        <x:v>넓은 공간 가독성, 시험 직전의 정적, 무기의 중량감을 절충한다. 허수아비는 공포 소품처럼 과장하지 않고 평범함을 충분히 쌓아 이후 전환의 낙차를 만든다.</x:v>
      </x:c>
      <x:c r="S30" s="323" t="str">
        <x:v>LOCKED_v1</x:v>
      </x:c>
    </x:row>
    <x:row r="31" ht="84" customHeight="1">
      <x:c r="A31" s="312" t="str">
        <x:v>163</x:v>
      </x:c>
      <x:c r="B31" s="304" t="str">
        <x:v>D. 반보와 간격</x:v>
      </x:c>
      <x:c r="C31" s="304" t="str">
        <x:v>유리 너머의 관찰자</x:v>
      </x:c>
      <x:c r="D31" s="314" t="str">
        <x:v>64%</x:v>
      </x:c>
      <x:c r="E31" s="318" t="n">
        <x:v>400</x:v>
      </x:c>
      <x:c r="F31" s="318" t="n">
        <x:v>20</x:v>
      </x:c>
      <x:c r="G31" s="318" t="n">
        <x:v>50</x:v>
      </x:c>
      <x:c r="H31" s="304" t="str">
        <x:v>85mm CU THROUGH GLASS, 관측창 너머 마태오와 불붙지 않은 담배</x:v>
      </x:c>
      <x:c r="I31" s="304" t="str">
        <x:v>두꺼운 유리의 반사에 훈련장 실루엣이 겹치지만, 마태오의 얼굴과 담배는 읽힌다. 그는 여전히 CRT를 보지 않는 사람과 같은 무심한 자세다.</x:v>
      </x:c>
      <x:c r="J31" s="304" t="str">
        <x:v>텍스트 없음.</x:v>
      </x:c>
      <x:c r="K31" s="304" t="str">
        <x:v>관측창 유리 너머로 소리가 조금 먹힌다.</x:v>
      </x:c>
      <x:c r="L31" s="304" t="str">
        <x:v>천장 형광의 무채도 냉백. 콘크리트와 짚은 저채도이며, 엠버는 아직 등장하지 않는다. 깨진 조명 때문에 바닥에 불균일한 명암만 남긴다.</x:v>
      </x:c>
      <x:c r="M31" s="304" t="str">
        <x:v>1회독에는 ‘유리 너머의 관찰자’을 먼저 본다. 훈련장·허수아비·문양을 통해 전투 튜토리얼을 준비</x:v>
      </x:c>
      <x:c r="N31" s="304" t="str">
        <x:v>후속 정보가 생기면 행동·배경의 의미를 재검토</x:v>
      </x:c>
      <x:c r="O31" s="304" t="str">
        <x:v>독자는 ‘선택 / 대가 / 침묵’를 설명이 아니라 황혼의 판단 언어로 체화한다.</x:v>
      </x:c>
      <x:c r="P31" s="304" t="str">
        <x:v>훈련장 진입·표적·관측창·보스 트리거</x:v>
      </x:c>
      <x:c r="Q31" s="304" t="str">
        <x:v>GLOBAL-VIS-01</x:v>
      </x:c>
      <x:c r="R31" s="304" t="str">
        <x:v>넓은 공간 가독성, 시험 직전의 정적, 무기의 중량감을 절충한다. 허수아비는 공포 소품처럼 과장하지 않고 평범함을 충분히 쌓아 이후 전환의 낙차를 만든다.</x:v>
      </x:c>
      <x:c r="S31" s="323" t="str">
        <x:v>LOCKED_v1</x:v>
      </x:c>
    </x:row>
    <x:row r="32" ht="84" customHeight="1">
      <x:c r="A32" s="312" t="str">
        <x:v>164</x:v>
      </x:c>
      <x:c r="B32" s="304" t="str">
        <x:v>D. 반보와 간격</x:v>
      </x:c>
      <x:c r="C32" s="304" t="str">
        <x:v>눈으로 재는 거리</x:v>
      </x:c>
      <x:c r="D32" s="314" t="str">
        <x:v>64%</x:v>
      </x:c>
      <x:c r="E32" s="318" t="n">
        <x:v>400</x:v>
      </x:c>
      <x:c r="F32" s="318" t="n">
        <x:v>10</x:v>
      </x:c>
      <x:c r="G32" s="318" t="n">
        <x:v>20</x:v>
      </x:c>
      <x:c r="H32" s="304" t="str">
        <x:v>100mm CU, 아인의 눈과 낫 끝 방향을 같은 대각선에</x:v>
      </x:c>
      <x:c r="I32" s="304" t="str">
        <x:v>아인의 시선은 허수아비 중심이 아니라 끝자락이 닿을 반경을 따라 움직인다. 동공 움직임은 작게, 머리는 거의 고정한다.</x:v>
      </x:c>
      <x:c r="J32" s="304" t="str">
        <x:v>텍스트 없음.</x:v>
      </x:c>
      <x:c r="K32" s="304" t="str">
        <x:v>아인의 짧은 들숨.</x:v>
      </x:c>
      <x:c r="L32" s="304" t="str">
        <x:v>천장 형광의 무채도 냉백. 콘크리트와 짚은 저채도이며, 엠버는 아직 등장하지 않는다. 깨진 조명 때문에 바닥에 불균일한 명암만 남긴다.</x:v>
      </x:c>
      <x:c r="M32" s="304" t="str">
        <x:v>1회독에는 ‘눈으로 재는 거리’을 먼저 본다. 훈련장·허수아비·문양을 통해 전투 튜토리얼을 준비</x:v>
      </x:c>
      <x:c r="N32" s="304" t="str">
        <x:v>후속 정보가 생기면 행동·배경의 의미를 재검토</x:v>
      </x:c>
      <x:c r="O32" s="304" t="str">
        <x:v>독자는 ‘선택 / 대가 / 침묵’를 설명이 아니라 황혼의 판단 언어로 체화한다.</x:v>
      </x:c>
      <x:c r="P32" s="304" t="str">
        <x:v>훈련장 진입·표적·관측창·보스 트리거</x:v>
      </x:c>
      <x:c r="Q32" s="304" t="str">
        <x:v>아인 왼쪽 견갑·오른쪽 건틀릿 좌우 고정 / GLOBAL-VIS-01</x:v>
      </x:c>
      <x:c r="R32" s="304" t="str">
        <x:v>넓은 공간 가독성, 시험 직전의 정적, 무기의 중량감을 절충한다. 허수아비는 공포 소품처럼 과장하지 않고 평범함을 충분히 쌓아 이후 전환의 낙차를 만든다.</x:v>
      </x:c>
      <x:c r="S32" s="323" t="str">
        <x:v>LOCKED_v1</x:v>
      </x:c>
    </x:row>
    <x:row r="33" ht="84" customHeight="1">
      <x:c r="A33" s="313" t="str">
        <x:v>165</x:v>
      </x:c>
      <x:c r="B33" s="307" t="str">
        <x:v>D. 반보와 간격</x:v>
      </x:c>
      <x:c r="C33" s="307" t="str">
        <x:v>공격 전 정지</x:v>
      </x:c>
      <x:c r="D33" s="315" t="str">
        <x:v>88%</x:v>
      </x:c>
      <x:c r="E33" s="319" t="n">
        <x:v>560</x:v>
      </x:c>
      <x:c r="F33" s="319" t="n">
        <x:v>40</x:v>
      </x:c>
      <x:c r="G33" s="319" t="n">
        <x:v>160</x:v>
      </x:c>
      <x:c r="H33" s="307" t="str">
        <x:v>24mm LOW WIDE, 대검이 머리 위에 멈춘 순간과 높은 천장을 함께</x:v>
      </x:c>
      <x:c r="I33" s="307" t="str">
        <x:v>대검이 최고점에서 아주 잠깐 멈춘다. 카인의 발·허리·어깨가 한 축으로 정렬되고, 다음 컷의 낙하를 위해 화면 아래를 비운다.</x:v>
      </x:c>
      <x:c r="J33" s="307" t="str">
        <x:v>효과음 ‘우웅—’은 대검 주위가 아니라 검의 무게가 공기를 누르는 방향으로 세로 배치.</x:v>
      </x:c>
      <x:c r="K33" s="307" t="str">
        <x:v>대검이 최고점에서 공기를 누르는 ‘우웅—’. 이후 반 박자 정적.</x:v>
      </x:c>
      <x:c r="L33" s="307" t="str">
        <x:v>천장 형광의 무채도 냉백. 콘크리트와 짚은 저채도이며, 엠버는 아직 등장하지 않는다. 깨진 조명 때문에 바닥에 불균일한 명암만 남긴다.</x:v>
      </x:c>
      <x:c r="M33" s="307" t="str">
        <x:v>1회독에는 ‘공격 전 정지’을 먼저 본다. 훈련장·허수아비·문양을 통해 전투 튜토리얼을 준비</x:v>
      </x:c>
      <x:c r="N33" s="307" t="str">
        <x:v>시그니처 상징의 기원</x:v>
      </x:c>
      <x:c r="O33" s="307" t="str">
        <x:v>독자는 ‘선택 / 대가 / 침묵’를 설명이 아니라 황혼의 판단 언어로 체화한다.</x:v>
      </x:c>
      <x:c r="P33" s="307" t="str">
        <x:v>카인의 강공 준비 애니메이션에서 무게 중심과 최고점 정지를 플레이어가 읽을 수 있게 한다.</x:v>
      </x:c>
      <x:c r="Q33" s="307" t="str">
        <x:v>GLOBAL-VIS-01 / 카인은 62kg 대검을 실제 무게감 있게 든다. 장난감처럼 얇게 금지.</x:v>
      </x:c>
      <x:c r="R33" s="307" t="str">
        <x:v>넓은 공간 가독성, 시험 직전의 정적, 무기의 중량감을 절충한다. 허수아비는 공포 소품처럼 과장하지 않고 평범함을 충분히 쌓아 이후 전환의 낙차를 만든다.</x:v>
      </x:c>
      <x:c r="S33" s="324" t="str">
        <x:v>LOCKED_v1</x:v>
      </x:c>
    </x:row>
    <x:row r="34" ht="22.5" customHeight="1">
      <x:c r="A34" s="311" t="str">
        <x:v>TOTAL / ESTIMATED SCROLL</x:v>
      </x:c>
      <x:c r="B34" s="311"/>
      <x:c r="C34" s="311"/>
      <x:c r="D34" s="311"/>
      <x:c r="E34" s="320" t="n">
        <x:f>SUM(E5:E33)</x:f>
        <x:v>13670</x:v>
      </x:c>
      <x:c r="F34" s="320" t="n">
        <x:f>SUM(F5:F33)</x:f>
        <x:v>625</x:v>
      </x:c>
      <x:c r="G34" s="320" t="n">
        <x:f>SUM(G5:G33)</x:f>
        <x:v>1580</x:v>
      </x:c>
      <x:c r="H34" s="311" t="str">
        <x:v>예상 총 세로합</x:v>
      </x:c>
      <x:c r="I34" s="311" t="n">
        <x:f>E34+F34+G34</x:f>
        <x:v>15875</x:v>
      </x:c>
      <x:c r="J34" s="311"/>
      <x:c r="K34" s="311"/>
      <x:c r="L34" s="311"/>
      <x:c r="M34" s="311"/>
      <x:c r="N34" s="311"/>
      <x:c r="O34" s="311"/>
      <x:c r="P34" s="311"/>
      <x:c r="Q34" s="311"/>
      <x:c r="R34" s="311"/>
      <x:c r="S34" s="311"/>
    </x:row>
  </x:sheetData>
  <x:mergeCells>
    <x:mergeCell ref="A1:S1"/>
    <x:mergeCell ref="A2:S2"/>
    <x:mergeCell ref="A34:D34"/>
  </x:mergeCells>
  <x:conditionalFormatting sqref="A5:S33">
    <x:cfRule type="expression" dxfId="16" priority="1">
      <x:formula>MOD(ROW(),2)=0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26" hidden="0" customWidth="1"/>
    <x:col min="4" max="4" width="13" hidden="0" customWidth="1"/>
    <x:col min="5" max="5" width="14" hidden="0" customWidth="1"/>
    <x:col min="6" max="6" width="14" hidden="0" customWidth="1"/>
    <x:col min="7" max="7" width="17" hidden="0" customWidth="1"/>
    <x:col min="8" max="8" width="32" hidden="0" customWidth="1"/>
    <x:col min="9" max="9" width="48" hidden="0" customWidth="1"/>
    <x:col min="10" max="10" width="42" hidden="0" customWidth="1"/>
    <x:col min="11" max="11" width="32" hidden="0" customWidth="1"/>
    <x:col min="12" max="12" width="34" hidden="0" customWidth="1"/>
    <x:col min="13" max="13" width="38" hidden="0" customWidth="1"/>
    <x:col min="14" max="14" width="42" hidden="0" customWidth="1"/>
    <x:col min="15" max="15" width="42" hidden="0" customWidth="1"/>
    <x:col min="16" max="16" width="42" hidden="0" customWidth="1"/>
    <x:col min="17" max="17" width="50" hidden="0" customWidth="1"/>
    <x:col min="18" max="18" width="44" hidden="0" customWidth="1"/>
    <x:col min="19" max="19" width="15" hidden="0" customWidth="1"/>
  </x:cols>
  <x:sheetData>
    <x:row r="1" ht="25.5" customHeight="1">
      <x:c r="A1" s="270" t="str">
        <x:v>EP01 CUT166–200 — 실제 연재 구현 v1.0</x:v>
      </x:c>
      <x:c r="B1" s="270"/>
      <x:c r="C1" s="270"/>
      <x:c r="D1" s="270"/>
      <x:c r="E1" s="270"/>
      <x:c r="F1" s="270"/>
      <x:c r="G1" s="270"/>
      <x:c r="H1" s="270"/>
      <x:c r="I1" s="270"/>
      <x:c r="J1" s="270"/>
      <x:c r="K1" s="270"/>
      <x:c r="L1" s="270"/>
      <x:c r="M1" s="270"/>
      <x:c r="N1" s="270"/>
      <x:c r="O1" s="270"/>
      <x:c r="P1" s="270"/>
      <x:c r="Q1" s="270"/>
      <x:c r="R1" s="270"/>
      <x:c r="S1" s="270"/>
    </x:row>
    <x:row r="2" ht="33" customHeight="1">
      <x:c r="A2" s="275" t="str">
        <x:v>카인의 첫 강공 → 깨어나는 문양 → 짚 아래의 보스 → 광원 전환 → 이중 음성 → 다섯 단계 예비동작 → 아인이 먼저 나선다. 원본 35컷 유지.</x:v>
      </x:c>
      <x:c r="B2" s="275"/>
      <x:c r="C2" s="275"/>
      <x:c r="D2" s="275"/>
      <x:c r="E2" s="275"/>
      <x:c r="F2" s="275"/>
      <x:c r="G2" s="275"/>
      <x:c r="H2" s="275"/>
      <x:c r="I2" s="275"/>
      <x:c r="J2" s="275"/>
      <x:c r="K2" s="275"/>
      <x:c r="L2" s="275"/>
      <x:c r="M2" s="275"/>
      <x:c r="N2" s="275"/>
      <x:c r="O2" s="275"/>
      <x:c r="P2" s="275"/>
      <x:c r="Q2" s="275"/>
      <x:c r="R2" s="275"/>
      <x:c r="S2" s="275"/>
    </x:row>
    <x:row r="3" ht="7.5" customHeight="1"/>
    <x:row r="4" ht="36" customHeight="1">
      <x:c r="A4" s="287" t="str">
        <x:v>CUT_ID</x:v>
      </x:c>
      <x:c r="B4" s="288" t="str">
        <x:v>BEAT</x:v>
      </x:c>
      <x:c r="C4" s="288" t="str">
        <x:v>PANEL_ROLE</x:v>
      </x:c>
      <x:c r="D4" s="288" t="str">
        <x:v>WIDTH_CLASS</x:v>
      </x:c>
      <x:c r="E4" s="288" t="str">
        <x:v>SOURCE_HEIGHT_PX</x:v>
      </x:c>
      <x:c r="F4" s="288" t="str">
        <x:v>TOP_GUTTER_PX</x:v>
      </x:c>
      <x:c r="G4" s="288" t="str">
        <x:v>BOTTOM_GUTTER_PX</x:v>
      </x:c>
      <x:c r="H4" s="288" t="str">
        <x:v>CAMERA</x:v>
      </x:c>
      <x:c r="I4" s="288" t="str">
        <x:v>ACTION_COMPOSITION</x:v>
      </x:c>
      <x:c r="J4" s="288" t="str">
        <x:v>TEXT_LAYOUT</x:v>
      </x:c>
      <x:c r="K4" s="288" t="str">
        <x:v>SFX_AUDIO</x:v>
      </x:c>
      <x:c r="L4" s="288" t="str">
        <x:v>COLOR_LIGHT</x:v>
      </x:c>
      <x:c r="M4" s="288" t="str">
        <x:v>FIRST_READ</x:v>
      </x:c>
      <x:c r="N4" s="288" t="str">
        <x:v>THIRD_READ</x:v>
      </x:c>
      <x:c r="O4" s="288" t="str">
        <x:v>FIFTH_READ</x:v>
      </x:c>
      <x:c r="P4" s="288" t="str">
        <x:v>GAME_ECHO</x:v>
      </x:c>
      <x:c r="Q4" s="288" t="str">
        <x:v>PRODUCTION_LOCK</x:v>
      </x:c>
      <x:c r="R4" s="288" t="str">
        <x:v>BENCHMARK_BALANCE</x:v>
      </x:c>
      <x:c r="S4" s="289" t="str">
        <x:v>STATUS</x:v>
      </x:c>
    </x:row>
    <x:row r="5" ht="84" customHeight="1">
      <x:c r="A5" s="312" t="str">
        <x:v>166</x:v>
      </x:c>
      <x:c r="B5" s="304" t="str">
        <x:v>E. 첫 타격</x:v>
      </x:c>
      <x:c r="C5" s="304" t="str">
        <x:v>대검의 낙하</x:v>
      </x:c>
      <x:c r="D5" s="314" t="str">
        <x:v>72%</x:v>
      </x:c>
      <x:c r="E5" s="318" t="n">
        <x:v>430</x:v>
      </x:c>
      <x:c r="F5" s="318" t="n">
        <x:v>10</x:v>
      </x:c>
      <x:c r="G5" s="318" t="n">
        <x:v>10</x:v>
      </x:c>
      <x:c r="H5" s="304" t="str">
        <x:v>35mm MS SIDE, 대검 낙하 궤적이 허수아비 중심선으로 향하는 순간</x:v>
      </x:c>
      <x:c r="I5" s="304" t="str">
        <x:v>대검은 원근 과장으로 얇아지지 않게 두께를 유지한다. 카인의 체중 이동이 검보다 먼저 내려가며, 허수아비 중심선을 정확히 향한다.</x:v>
      </x:c>
      <x:c r="J5" s="304" t="str">
        <x:v>효과음 ‘부웅—’을 검 궤적 뒤에 두고 접촉점은 비운다.</x:v>
      </x:c>
      <x:c r="K5" s="304" t="str">
        <x:v>대검 낙하 ‘부웅—’. 바닥 접촉음은 다음 컷으로 넘긴다.</x:v>
      </x:c>
      <x:c r="L5" s="304" t="str">
        <x:v>천장 형광의 무채도 냉백. 콘크리트와 짚은 저채도이며, 엠버는 아직 등장하지 않는다. 깨진 조명 때문에 바닥에 불균일한 명암만 남긴다.</x:v>
      </x:c>
      <x:c r="M5" s="304" t="str">
        <x:v>1회독에는 ‘대검의 낙하’을 먼저 본다. 낫과 대검의 무게·궤적·거리 차이를 행동으로 학습</x:v>
      </x:c>
      <x:c r="N5" s="304" t="str">
        <x:v>후속 정보가 생기면 행동·배경의 의미를 재검토</x:v>
      </x:c>
      <x:c r="O5" s="304" t="str">
        <x:v>독자는 ‘선택 / 대가 / 침묵’를 설명이 아니라 황혼의 판단 언어로 체화한다.</x:v>
      </x:c>
      <x:c r="P5" s="304" t="str">
        <x:v>공격 궤적·무게중심·콤보 거리 튜토리얼</x:v>
      </x:c>
      <x:c r="Q5" s="304" t="str">
        <x:v>GLOBAL-VIS-01</x:v>
      </x:c>
      <x:c r="R5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5" s="323" t="str">
        <x:v>LOCKED_v1</x:v>
      </x:c>
    </x:row>
    <x:row r="6" ht="84" customHeight="1">
      <x:c r="A6" s="312" t="str">
        <x:v>167</x:v>
      </x:c>
      <x:c r="B6" s="304" t="str">
        <x:v>E. 첫 타격</x:v>
      </x:c>
      <x:c r="C6" s="304" t="str">
        <x:v>62킬로의 정답</x:v>
      </x:c>
      <x:c r="D6" s="314" t="str">
        <x:v>96%</x:v>
      </x:c>
      <x:c r="E6" s="318" t="n">
        <x:v>1500</x:v>
      </x:c>
      <x:c r="F6" s="318" t="n">
        <x:v>0</x:v>
      </x:c>
      <x:c r="G6" s="318" t="n">
        <x:v>15</x:v>
      </x:c>
      <x:c r="H6" s="304" t="str">
        <x:v>20mm VERTICAL IMPACT BLEED, 대검→허수아비→바닥 균열을 한 축으로 연결</x:v>
      </x:c>
      <x:c r="I6" s="304" t="str">
        <x:v>대검이 짚단을 누르는 접촉점, 휘어지는 나무 뼈대, 바닥에 번지는 충격을 위→중→하 순서로 한 컷 안에 읽힌다. 폭발 이펙트가 무기 실루엣을 가리지 않는다.</x:v>
      </x:c>
      <x:c r="J6" s="304" t="str">
        <x:v>‘콰앙!!’은 접촉점에서 시작해 아래로 퍼지되 허수아비 실루엣을 가리지 않는다.</x:v>
      </x:c>
      <x:c r="K6" s="304" t="str">
        <x:v>‘콰앙!!’ 한 번과 콘크리트 저주파 잔향. 무기 금속 떨림이 뒤늦게 남는다.</x:v>
      </x:c>
      <x:c r="L6" s="304" t="str">
        <x:v>천장 형광의 무채도 냉백. 콘크리트와 짚은 저채도이며, 엠버는 아직 등장하지 않는다. 깨진 조명 때문에 바닥에 불균일한 명암만 남긴다.</x:v>
      </x:c>
      <x:c r="M6" s="304" t="str">
        <x:v>1회독에는 ‘62킬로의 정답’을 먼저 본다. 낫과 대검의 무게·궤적·거리 차이를 행동으로 학습</x:v>
      </x:c>
      <x:c r="N6" s="304" t="str">
        <x:v>후속 정보가 생기면 행동·배경의 의미를 재검토</x:v>
      </x:c>
      <x:c r="O6" s="304" t="str">
        <x:v>독자는 ‘선택 / 대가 / 침묵’를 설명이 아니라 황혼의 판단 언어로 체화한다.</x:v>
      </x:c>
      <x:c r="P6" s="304" t="str">
        <x:v>강공은 높은 경직·환경 파괴를 주지만 정밀 부위 회수에는 불리한 무기 성격을 보여준다.</x:v>
      </x:c>
      <x:c r="Q6" s="304" t="str">
        <x:v>GLOBAL-VIS-01 / 대검 두께·충격 방향 판독성 우선. 짚 파편으로 접촉점을 가리지 않는다.</x:v>
      </x:c>
      <x:c r="R6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6" s="323" t="str">
        <x:v>LOCKED_v1</x:v>
      </x:c>
    </x:row>
    <x:row r="7" ht="84" customHeight="1">
      <x:c r="A7" s="312" t="str">
        <x:v>168</x:v>
      </x:c>
      <x:c r="B7" s="304" t="str">
        <x:v>E. 첫 타격</x:v>
      </x:c>
      <x:c r="C7" s="304" t="str">
        <x:v>날아간 짚</x:v>
      </x:c>
      <x:c r="D7" s="314" t="str">
        <x:v>88%</x:v>
      </x:c>
      <x:c r="E7" s="318" t="n">
        <x:v>470</x:v>
      </x:c>
      <x:c r="F7" s="318" t="n">
        <x:v>10</x:v>
      </x:c>
      <x:c r="G7" s="318" t="n">
        <x:v>20</x:v>
      </x:c>
      <x:c r="H7" s="304" t="str">
        <x:v>28mm WIDE, 짚 파편이 원형으로 퍼지는 공간 반응</x:v>
      </x:c>
      <x:c r="I7" s="304" t="str">
        <x:v>짚 파편은 카인 쪽보다 바깥으로 원형 확산하고, 아인이 들어갈 통로 하나가 파편 사이에 생기게 한다. 다음 연속 공격의 진입선을 준비한다.</x:v>
      </x:c>
      <x:c r="J7" s="304" t="str">
        <x:v>텍스트 없음.</x:v>
      </x:c>
      <x:c r="K7" s="304" t="str">
        <x:v>짚 파편이 바닥에 비처럼 떨어지는 마른 소리.</x:v>
      </x:c>
      <x:c r="L7" s="304" t="str">
        <x:v>천장 형광의 무채도 냉백. 콘크리트와 짚은 저채도이며, 엠버는 아직 등장하지 않는다. 깨진 조명 때문에 바닥에 불균일한 명암만 남긴다.</x:v>
      </x:c>
      <x:c r="M7" s="304" t="str">
        <x:v>1회독에는 ‘날아간 짚’을 먼저 본다. 낫과 대검의 무게·궤적·거리 차이를 행동으로 학습</x:v>
      </x:c>
      <x:c r="N7" s="304" t="str">
        <x:v>후속 정보가 생기면 행동·배경의 의미를 재검토</x:v>
      </x:c>
      <x:c r="O7" s="304" t="str">
        <x:v>독자는 ‘선택 / 대가 / 침묵’를 설명이 아니라 황혼의 판단 언어로 체화한다.</x:v>
      </x:c>
      <x:c r="P7" s="304" t="str">
        <x:v>공격 궤적·무게중심·콤보 거리 튜토리얼</x:v>
      </x:c>
      <x:c r="Q7" s="304" t="str">
        <x:v>GLOBAL-VIS-01</x:v>
      </x:c>
      <x:c r="R7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7" s="323" t="str">
        <x:v>LOCKED_v1</x:v>
      </x:c>
    </x:row>
    <x:row r="8" ht="84" customHeight="1">
      <x:c r="A8" s="312" t="str">
        <x:v>169</x:v>
      </x:c>
      <x:c r="B8" s="304" t="str">
        <x:v>E. 첫 타격</x:v>
      </x:c>
      <x:c r="C8" s="304" t="str">
        <x:v>끝나지 못한 농담</x:v>
      </x:c>
      <x:c r="D8" s="314" t="str">
        <x:v>64%</x:v>
      </x:c>
      <x:c r="E8" s="318" t="n">
        <x:v>400</x:v>
      </x:c>
      <x:c r="F8" s="318" t="n">
        <x:v>5</x:v>
      </x:c>
      <x:c r="G8" s="318" t="n">
        <x:v>30</x:v>
      </x:c>
      <x:c r="H8" s="304" t="str">
        <x:v>85mm CU, 카인의 웃는 입과 아직 내려앉지 않은 짚 파편</x:v>
      </x:c>
      <x:c r="I8" s="304" t="str">
        <x:v>카인의 농담은 끝까지 나오지 않는다. 화면 한쪽에서 사슬이 당겨지는 미세한 움직임이 이미 시작되지만 카인은 보지 못한다.</x:v>
      </x:c>
      <x:c r="J8" s="304" t="str">
        <x:v>말풍선은 짚 파편 바깥 여백에 두고 문장을 대시에서 끊는다. 「뭐야, 이거 별거—」</x:v>
      </x:c>
      <x:c r="K8" s="304" t="str">
        <x:v>카인 대사가 끝나기 전 사슬 장력이 아주 낮게 시작된다.</x:v>
      </x:c>
      <x:c r="L8" s="304" t="str">
        <x:v>천장 형광의 무채도 냉백. 콘크리트와 짚은 저채도이며, 엠버는 아직 등장하지 않는다. 깨진 조명 때문에 바닥에 불균일한 명암만 남긴다.</x:v>
      </x:c>
      <x:c r="M8" s="304" t="str">
        <x:v>1회독에는 ‘끝나지 못한 농담’을 먼저 본다. 낫과 대검의 무게·궤적·거리 차이를 행동으로 학습</x:v>
      </x:c>
      <x:c r="N8" s="304" t="str">
        <x:v>후속 정보가 생기면 행동·배경의 의미를 재검토</x:v>
      </x:c>
      <x:c r="O8" s="304" t="str">
        <x:v>독자는 ‘선택 / 대가 / 침묵’를 설명이 아니라 황혼의 판단 언어로 체화한다.</x:v>
      </x:c>
      <x:c r="P8" s="304" t="str">
        <x:v>공격 궤적·무게중심·콤보 거리 튜토리얼</x:v>
      </x:c>
      <x:c r="Q8" s="304" t="str">
        <x:v>GLOBAL-VIS-01</x:v>
      </x:c>
      <x:c r="R8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8" s="323" t="str">
        <x:v>LOCKED_v1</x:v>
      </x:c>
    </x:row>
    <x:row r="9" ht="84" customHeight="1">
      <x:c r="A9" s="312" t="str">
        <x:v>170</x:v>
      </x:c>
      <x:c r="B9" s="304" t="str">
        <x:v>F. 깨어나는 문양</x:v>
      </x:c>
      <x:c r="C9" s="304" t="str">
        <x:v>당겨지는 사슬</x:v>
      </x:c>
      <x:c r="D9" s="314" t="str">
        <x:v>56%</x:v>
      </x:c>
      <x:c r="E9" s="318" t="n">
        <x:v>380</x:v>
      </x:c>
      <x:c r="F9" s="318" t="n">
        <x:v>5</x:v>
      </x:c>
      <x:c r="G9" s="318" t="n">
        <x:v>10</x:v>
      </x:c>
      <x:c r="H9" s="304" t="str">
        <x:v>110mm INSERT, 파편 사이에서 반대 방향으로 당겨지는 사슬</x:v>
      </x:c>
      <x:c r="I9" s="304" t="str">
        <x:v>짚이 날아간 방향과 반대로 사슬이 안쪽으로 당겨진다. 인과가 이상하다는 사실을 물리 방향만으로 보여준다.</x:v>
      </x:c>
      <x:c r="J9" s="304" t="str">
        <x:v>텍스트 없음.</x:v>
      </x:c>
      <x:c r="K9" s="304" t="str">
        <x:v>사슬이 안쪽으로 당겨지는 금속 장력음.</x:v>
      </x:c>
      <x:c r="L9" s="304" t="str">
        <x:v>천장 형광의 무채도 냉백. 콘크리트와 짚은 저채도이며, 엠버는 아직 등장하지 않는다. 깨진 조명 때문에 바닥에 불균일한 명암만 남긴다.</x:v>
      </x:c>
      <x:c r="M9" s="304" t="str">
        <x:v>1회독에는 ‘당겨지는 사슬’을 먼저 본다. 낫과 대검의 무게·궤적·거리 차이를 행동으로 학습</x:v>
      </x:c>
      <x:c r="N9" s="304" t="str">
        <x:v>후속 정보가 생기면 행동·배경의 의미를 재검토</x:v>
      </x:c>
      <x:c r="O9" s="304" t="str">
        <x:v>독자는 ‘선택 / 대가 / 침묵’를 설명이 아니라 황혼의 판단 언어로 체화한다.</x:v>
      </x:c>
      <x:c r="P9" s="304" t="str">
        <x:v>공격 궤적·무게중심·콤보 거리 튜토리얼</x:v>
      </x:c>
      <x:c r="Q9" s="304" t="str">
        <x:v>GLOBAL-VIS-01</x:v>
      </x:c>
      <x:c r="R9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9" s="323" t="str">
        <x:v>LOCKED_v1</x:v>
      </x:c>
    </x:row>
    <x:row r="10" ht="84" customHeight="1">
      <x:c r="A10" s="312" t="str">
        <x:v>171</x:v>
      </x:c>
      <x:c r="B10" s="304" t="str">
        <x:v>F. 깨어나는 문양</x:v>
      </x:c>
      <x:c r="C10" s="304" t="str">
        <x:v>뒤틀리는 고리</x:v>
      </x:c>
      <x:c r="D10" s="314" t="str">
        <x:v>54%</x:v>
      </x:c>
      <x:c r="E10" s="318" t="n">
        <x:v>360</x:v>
      </x:c>
      <x:c r="F10" s="318" t="n">
        <x:v>10</x:v>
      </x:c>
      <x:c r="G10" s="318" t="n">
        <x:v>20</x:v>
      </x:c>
      <x:c r="H10" s="304" t="str">
        <x:v>130mm ECU, 고리 한 개의 변형만</x:v>
      </x:c>
      <x:c r="I10" s="304" t="str">
        <x:v>고리는 금속 피로로 벌어지는 게 아니라 안쪽에서 비틀려 형태가 바뀐다. 긁힘과 장력선을 현실적으로 표현한다.</x:v>
      </x:c>
      <x:c r="J10" s="304" t="str">
        <x:v>작은 ‘끼긱’을 고리 변형 방향에 붙인다.</x:v>
      </x:c>
      <x:c r="K10" s="304" t="str">
        <x:v>고리 ‘끼긱’. 한 음만 선명하게.</x:v>
      </x:c>
      <x:c r="L10" s="304" t="str">
        <x:v>천장 형광의 무채도 냉백. 콘크리트와 짚은 저채도이며, 엠버는 아직 등장하지 않는다. 깨진 조명 때문에 바닥에 불균일한 명암만 남긴다.</x:v>
      </x:c>
      <x:c r="M10" s="304" t="str">
        <x:v>1회독에는 ‘뒤틀리는 고리’을 먼저 본다. 낫과 대검의 무게·궤적·거리 차이를 행동으로 학습</x:v>
      </x:c>
      <x:c r="N10" s="304" t="str">
        <x:v>후속 정보가 생기면 행동·배경의 의미를 재검토</x:v>
      </x:c>
      <x:c r="O10" s="304" t="str">
        <x:v>독자는 ‘선택 / 대가 / 침묵’를 설명이 아니라 황혼의 판단 언어로 체화한다.</x:v>
      </x:c>
      <x:c r="P10" s="304" t="str">
        <x:v>공격 궤적·무게중심·콤보 거리 튜토리얼</x:v>
      </x:c>
      <x:c r="Q10" s="304" t="str">
        <x:v>GLOBAL-VIS-01</x:v>
      </x:c>
      <x:c r="R10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10" s="323" t="str">
        <x:v>LOCKED_v1</x:v>
      </x:c>
    </x:row>
    <x:row r="11" ht="84" customHeight="1">
      <x:c r="A11" s="312" t="str">
        <x:v>172</x:v>
      </x:c>
      <x:c r="B11" s="304" t="str">
        <x:v>F. 깨어나는 문양</x:v>
      </x:c>
      <x:c r="C11" s="304" t="str">
        <x:v>문양에 들어온 첫 선</x:v>
      </x:c>
      <x:c r="D11" s="314" t="str">
        <x:v>56%</x:v>
      </x:c>
      <x:c r="E11" s="318" t="n">
        <x:v>380</x:v>
      </x:c>
      <x:c r="F11" s="318" t="n">
        <x:v>10</x:v>
      </x:c>
      <x:c r="G11" s="318" t="n">
        <x:v>20</x:v>
      </x:c>
      <x:c r="H11" s="304" t="str">
        <x:v>120mm TOP-DOWN INSERT, 문양 한 점에 들어오는 첫 엠버 선</x:v>
      </x:c>
      <x:c r="I11" s="304" t="str">
        <x:v>문양의 한 점이 ‘켜진다’기보다 외부 선이 안쪽으로 들어와 흐르는 모양이다. 원인과 봉인의 어느 쪽인지 확정하지 않는다.</x:v>
      </x:c>
      <x:c r="J11" s="304" t="str">
        <x:v>텍스트 없음. 문양의 반응을 설명하지 않는다.</x:v>
      </x:c>
      <x:c r="K11" s="304" t="str">
        <x:v>문양은 무음. 기존 사슬음만 이어져 원인을 확정하지 않는다.</x:v>
      </x:c>
      <x:c r="L11" s="304" t="str">
        <x:v>냉백 훈련장 위에 문양의 엠버 선이 아주 얇게 침입한다. 청록·적색 경고광 없이 광원의 전환을 점층적으로 시작한다.</x:v>
      </x:c>
      <x:c r="M11" s="304" t="str">
        <x:v>1회독에는 ‘문양에 들어온 첫 선’을 먼저 본다. 낫과 대검의 무게·궤적·거리 차이를 행동으로 학습</x:v>
      </x:c>
      <x:c r="N11" s="304" t="str">
        <x:v>CUT154에서 지나친 문양이 반응했다는 사실은 보이지만, ‘문양이 깨웠다’는 단일 인과는 여전히 확정되지 않는다.</x:v>
      </x:c>
      <x:c r="O11" s="304" t="str">
        <x:v>독자는 ‘호출 / 배양 / 응답’를 설명이 아니라 황혼의 판단 언어로 체화한다.</x:v>
      </x:c>
      <x:c r="P11" s="304" t="str">
        <x:v>발동 원인을 직접 표시하지 않는 환경 트리거. 플레이어가 문양·타격·사슬 중 무엇이 원인인지 추측하게 둔다.</x:v>
      </x:c>
      <x:c r="Q11" s="304" t="str">
        <x:v>복선 강조 금지 / GLOBAL-VIS-01 / OPEN 단서 CUT154의 연장. 엠버 반응은 보이되 정답 암시 금지.</x:v>
      </x:c>
      <x:c r="R11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11" s="323" t="str">
        <x:v>LOCKED_v1</x:v>
      </x:c>
    </x:row>
    <x:row r="12" ht="84" customHeight="1">
      <x:c r="A12" s="312" t="str">
        <x:v>173</x:v>
      </x:c>
      <x:c r="B12" s="304" t="str">
        <x:v>F. 깨어나는 문양</x:v>
      </x:c>
      <x:c r="C12" s="304" t="str">
        <x:v>먼저 본 사람</x:v>
      </x:c>
      <x:c r="D12" s="314" t="str">
        <x:v>64%</x:v>
      </x:c>
      <x:c r="E12" s="318" t="n">
        <x:v>400</x:v>
      </x:c>
      <x:c r="F12" s="318" t="n">
        <x:v>10</x:v>
      </x:c>
      <x:c r="G12" s="318" t="n">
        <x:v>20</x:v>
      </x:c>
      <x:c r="H12" s="304" t="str">
        <x:v>85mm CU, 아인의 고개와 눈이 먼저 움직이는 반응</x:v>
      </x:c>
      <x:c r="I12" s="304" t="str">
        <x:v>아인은 소리를 듣고 난 뒤가 아니라 바닥 빛이 번지는 첫 순간에 고개를 든다. 관찰 능력을 과장된 초능력 표시 없이 보여준다.</x:v>
      </x:c>
      <x:c r="J12" s="304" t="str">
        <x:v>텍스트 없음.</x:v>
      </x:c>
      <x:c r="K12" s="304" t="str">
        <x:v>아인의 옷과 머리카락이 움직이는 작은 소리.</x:v>
      </x:c>
      <x:c r="L12" s="304" t="str">
        <x:v>냉백 훈련장 위에 문양의 엠버 선이 아주 얇게 침입한다. 청록·적색 경고광 없이 광원의 전환을 점층적으로 시작한다.</x:v>
      </x:c>
      <x:c r="M12" s="304" t="str">
        <x:v>1회독에는 ‘먼저 본 사람’을 먼저 본다. 낫과 대검의 무게·궤적·거리 차이를 행동으로 학습</x:v>
      </x:c>
      <x:c r="N12" s="304" t="str">
        <x:v>후속 정보가 생기면 행동·배경의 의미를 재검토</x:v>
      </x:c>
      <x:c r="O12" s="304" t="str">
        <x:v>독자는 ‘선택 / 대가 / 침묵’를 설명이 아니라 황혼의 판단 언어로 체화한다.</x:v>
      </x:c>
      <x:c r="P12" s="304" t="str">
        <x:v>공격 궤적·무게중심·콤보 거리 튜토리얼</x:v>
      </x:c>
      <x:c r="Q12" s="304" t="str">
        <x:v>아인 왼쪽 견갑·오른쪽 건틀릿 좌우 고정 / GLOBAL-VIS-01</x:v>
      </x:c>
      <x:c r="R12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12" s="323" t="str">
        <x:v>LOCKED_v1</x:v>
      </x:c>
    </x:row>
    <x:row r="13" ht="84" customHeight="1">
      <x:c r="A13" s="312" t="str">
        <x:v>174</x:v>
      </x:c>
      <x:c r="B13" s="304" t="str">
        <x:v>F. 깨어나는 문양</x:v>
      </x:c>
      <x:c r="C13" s="304" t="str">
        <x:v>바닥을 달리는 신호</x:v>
      </x:c>
      <x:c r="D13" s="314" t="str">
        <x:v>56%</x:v>
      </x:c>
      <x:c r="E13" s="318" t="n">
        <x:v>380</x:v>
      </x:c>
      <x:c r="F13" s="318" t="n">
        <x:v>10</x:v>
      </x:c>
      <x:c r="G13" s="318" t="n">
        <x:v>20</x:v>
      </x:c>
      <x:c r="H13" s="304" t="str">
        <x:v>100mm INSERT, 바닥 균열을 따라 번지는 선을 사선으로</x:v>
      </x:c>
      <x:c r="I13" s="304" t="str">
        <x:v>엠버 선이 원형 문양을 완전히 밝히지 않고 일부 경로만 따라간다. 다음 컷의 내부 룬과 같은 박자를 암시한다.</x:v>
      </x:c>
      <x:c r="J13" s="304" t="str">
        <x:v>‘지— 직’을 바닥 선과 평행하게 작게.</x:v>
      </x:c>
      <x:c r="K13" s="304" t="str">
        <x:v>‘지— 직’은 전기음보다 강선 내부 신호처럼 낮고 끊겨야 한다.</x:v>
      </x:c>
      <x:c r="L13" s="304" t="str">
        <x:v>냉백 훈련장 위에 문양의 엠버 선이 아주 얇게 침입한다. 청록·적색 경고광 없이 광원의 전환을 점층적으로 시작한다.</x:v>
      </x:c>
      <x:c r="M13" s="304" t="str">
        <x:v>1회독에는 ‘바닥을 달리는 신호’을 먼저 본다. 낫과 대검의 무게·궤적·거리 차이를 행동으로 학습</x:v>
      </x:c>
      <x:c r="N13" s="304" t="str">
        <x:v>후속 정보가 생기면 행동·배경의 의미를 재검토</x:v>
      </x:c>
      <x:c r="O13" s="304" t="str">
        <x:v>독자는 ‘호출 / 배양 / 응답’를 설명이 아니라 황혼의 판단 언어로 체화한다.</x:v>
      </x:c>
      <x:c r="P13" s="304" t="str">
        <x:v>공격 궤적·무게중심·콤보 거리 튜토리얼</x:v>
      </x:c>
      <x:c r="Q13" s="304" t="str">
        <x:v>GLOBAL-VIS-01</x:v>
      </x:c>
      <x:c r="R13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13" s="323" t="str">
        <x:v>LOCKED_v1</x:v>
      </x:c>
    </x:row>
    <x:row r="14" ht="84" customHeight="1">
      <x:c r="A14" s="312" t="str">
        <x:v>175</x:v>
      </x:c>
      <x:c r="B14" s="304" t="str">
        <x:v>F. 깨어나는 문양</x:v>
      </x:c>
      <x:c r="C14" s="304" t="str">
        <x:v>짚 안의 불</x:v>
      </x:c>
      <x:c r="D14" s="314" t="str">
        <x:v>54%</x:v>
      </x:c>
      <x:c r="E14" s="318" t="n">
        <x:v>400</x:v>
      </x:c>
      <x:c r="F14" s="318" t="n">
        <x:v>20</x:v>
      </x:c>
      <x:c r="G14" s="318" t="n">
        <x:v>50</x:v>
      </x:c>
      <x:c r="H14" s="304" t="str">
        <x:v>130mm ECU CUTAWAY, 짚 틈 사이의 룬과 내부 강선</x:v>
      </x:c>
      <x:c r="I14" s="304" t="str">
        <x:v>짚 사이의 틈으로 룬과 강선이 보인다. 엠버는 안쪽에서 새어 나오며 아직 외부 광원보다 약하다.</x:v>
      </x:c>
      <x:c r="J14" s="304" t="str">
        <x:v>텍스트 없음.</x:v>
      </x:c>
      <x:c r="K14" s="304" t="str">
        <x:v>룬이 켜질 때 얇은 내부 진동. 마법 주문음 금지.</x:v>
      </x:c>
      <x:c r="L14" s="304" t="str">
        <x:v>냉백이 남아 있으나 짚 안쪽의 엠버가 점점 주광원이 된다. 붉은 안광은 점 두 개로만 두고 주변을 빨갛게 물들이지 않는다.</x:v>
      </x:c>
      <x:c r="M14" s="304" t="str">
        <x:v>1회독에는 ‘짚 안의 불’을 먼저 본다. 낫과 대검의 무게·궤적·거리 차이를 행동으로 학습</x:v>
      </x:c>
      <x:c r="N14" s="304" t="str">
        <x:v>후속 정보가 생기면 행동·배경의 의미를 재검토</x:v>
      </x:c>
      <x:c r="O14" s="304" t="str">
        <x:v>독자는 ‘거리 / 보호 / 선택’를 설명이 아니라 황혼의 판단 언어로 체화한다.</x:v>
      </x:c>
      <x:c r="P14" s="304" t="str">
        <x:v>공격 궤적·무게중심·콤보 거리 튜토리얼</x:v>
      </x:c>
      <x:c r="Q14" s="304" t="str">
        <x:v>GLOBAL-VIS-01</x:v>
      </x:c>
      <x:c r="R14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14" s="323" t="str">
        <x:v>LOCKED_v1</x:v>
      </x:c>
    </x:row>
    <x:row r="15" ht="84" customHeight="1">
      <x:c r="A15" s="312" t="str">
        <x:v>176</x:v>
      </x:c>
      <x:c r="B15" s="304" t="str">
        <x:v>F. 깨어나는 문양</x:v>
      </x:c>
      <x:c r="C15" s="304" t="str">
        <x:v>반 박자 빠른 경고</x:v>
      </x:c>
      <x:c r="D15" s="314" t="str">
        <x:v>64%</x:v>
      </x:c>
      <x:c r="E15" s="318" t="n">
        <x:v>400</x:v>
      </x:c>
      <x:c r="F15" s="318" t="n">
        <x:v>10</x:v>
      </x:c>
      <x:c r="G15" s="318" t="n">
        <x:v>15</x:v>
      </x:c>
      <x:c r="H15" s="304" t="str">
        <x:v>85mm CU, 아인의 눈이 커지는 순간과 입이 열리는 타이밍</x:v>
      </x:c>
      <x:c r="I15" s="304" t="str">
        <x:v>아인의 대사는 프레임 밖 카인에게 향한다. 시선은 카인보다 허수아비 내부에 고정되어 경고가 관찰에서 나왔음을 보인다.</x:v>
      </x:c>
      <x:c r="J15" s="304" t="str">
        <x:v>「카인, 물러나!」를 아인의 입보다 카인 진행 방향 앞에 두어 대사가 먼저 도착하게 한다.</x:v>
      </x:c>
      <x:c r="K15" s="304" t="str">
        <x:v>아인 경고가 모든 환경음보다 먼저 튀어나온다.</x:v>
      </x:c>
      <x:c r="L15" s="304" t="str">
        <x:v>냉백이 남아 있으나 짚 안쪽의 엠버가 점점 주광원이 된다. 붉은 안광은 점 두 개로만 두고 주변을 빨갛게 물들이지 않는다.</x:v>
      </x:c>
      <x:c r="M15" s="304" t="str">
        <x:v>1회독에는 ‘반 박자 빠른 경고’을 먼저 본다. 낫과 대검의 무게·궤적·거리 차이를 행동으로 학습</x:v>
      </x:c>
      <x:c r="N15" s="304" t="str">
        <x:v>후속 정보가 생기면 행동·배경의 의미를 재검토</x:v>
      </x:c>
      <x:c r="O15" s="304" t="str">
        <x:v>독자는 ‘선택 / 대가 / 침묵’를 설명이 아니라 황혼의 판단 언어로 체화한다.</x:v>
      </x:c>
      <x:c r="P15" s="304" t="str">
        <x:v>공격 궤적·무게중심·콤보 거리 튜토리얼</x:v>
      </x:c>
      <x:c r="Q15" s="304" t="str">
        <x:v>아인 왼쪽 견갑·오른쪽 건틀릿 좌우 고정 / GLOBAL-VIS-01 / 아인 장비 좌우 고정. 경고는 관찰에서 나와야 한다.</x:v>
      </x:c>
      <x:c r="R15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15" s="323" t="str">
        <x:v>LOCKED_v1</x:v>
      </x:c>
    </x:row>
    <x:row r="16" ht="84" customHeight="1">
      <x:c r="A16" s="312" t="str">
        <x:v>177</x:v>
      </x:c>
      <x:c r="B16" s="304" t="str">
        <x:v>F. 깨어나는 문양</x:v>
      </x:c>
      <x:c r="C16" s="304" t="str">
        <x:v>반 박자 늦은 몸</x:v>
      </x:c>
      <x:c r="D16" s="314" t="str">
        <x:v>72%</x:v>
      </x:c>
      <x:c r="E16" s="318" t="n">
        <x:v>430</x:v>
      </x:c>
      <x:c r="F16" s="318" t="n">
        <x:v>10</x:v>
      </x:c>
      <x:c r="G16" s="318" t="n">
        <x:v>20</x:v>
      </x:c>
      <x:c r="H16" s="304" t="str">
        <x:v>50mm MS, 카인이 대검 무게를 끌고 뒤로 도약하는 전신</x:v>
      </x:c>
      <x:c r="I16" s="304" t="str">
        <x:v>카인은 반응은 빠르지만 대검 무게 때문에 발 하나가 늦게 따라온다. 이 ‘반 박자 늦음’이 폭발에 휘말리는 이유로 읽혀야 한다.</x:v>
      </x:c>
      <x:c r="J16" s="304" t="str">
        <x:v>텍스트 없음.</x:v>
      </x:c>
      <x:c r="K16" s="304" t="str">
        <x:v>카인의 무거운 발 한 번과 대검 관성음.</x:v>
      </x:c>
      <x:c r="L16" s="304" t="str">
        <x:v>냉백이 남아 있으나 짚 안쪽의 엠버가 점점 주광원이 된다. 붉은 안광은 점 두 개로만 두고 주변을 빨갛게 물들이지 않는다.</x:v>
      </x:c>
      <x:c r="M16" s="304" t="str">
        <x:v>1회독에는 ‘반 박자 늦은 몸’을 먼저 본다. 낫과 대검의 무게·궤적·거리 차이를 행동으로 학습</x:v>
      </x:c>
      <x:c r="N16" s="304" t="str">
        <x:v>후속 정보가 생기면 행동·배경의 의미를 재검토</x:v>
      </x:c>
      <x:c r="O16" s="304" t="str">
        <x:v>독자는 ‘선택 / 대가 / 침묵’를 설명이 아니라 황혼의 판단 언어로 체화한다.</x:v>
      </x:c>
      <x:c r="P16" s="304" t="str">
        <x:v>공격 궤적·무게중심·콤보 거리 튜토리얼</x:v>
      </x:c>
      <x:c r="Q16" s="304" t="str">
        <x:v>GLOBAL-VIS-01</x:v>
      </x:c>
      <x:c r="R16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16" s="323" t="str">
        <x:v>LOCKED_v1</x:v>
      </x:c>
    </x:row>
    <x:row r="17" ht="84" customHeight="1">
      <x:c r="A17" s="312" t="str">
        <x:v>178</x:v>
      </x:c>
      <x:c r="B17" s="304" t="str">
        <x:v>F. 깨어나는 문양</x:v>
      </x:c>
      <x:c r="C17" s="304" t="str">
        <x:v>짚이 벗겨지는 폭발</x:v>
      </x:c>
      <x:c r="D17" s="314" t="str">
        <x:v>96%</x:v>
      </x:c>
      <x:c r="E17" s="318" t="n">
        <x:v>1500</x:v>
      </x:c>
      <x:c r="F17" s="318" t="n">
        <x:v>0</x:v>
      </x:c>
      <x:c r="G17" s="318" t="n">
        <x:v>10</x:v>
      </x:c>
      <x:c r="H17" s="304" t="str">
        <x:v>20mm VERTICAL EXPLOSION BLEED, 내부 섬광→짚 파열→바닥 충격을 위아래로</x:v>
      </x:c>
      <x:c r="I17" s="304" t="str">
        <x:v>폭발은 불꽃보다 검은 연기·엠버 입자·짚 파편이 중심이다. 아인의 왼쪽 갈비뼈 쪽으로 충격이 들어가는 방향을 남긴다.</x:v>
      </x:c>
      <x:c r="J17" s="304" t="str">
        <x:v>‘콰아앙—!!’을 세로로 길게 배치하되 화면 전체를 글자로 덮지 않는다.</x:v>
      </x:c>
      <x:c r="K17" s="304" t="str">
        <x:v>‘콰아앙—!!’, 검은 연기 분출, 짚·금속 파편의 다층 충격. 귀 먹먹함으로 다음 컷의 고음을 줄인다.</x:v>
      </x:c>
      <x:c r="L17" s="304" t="str">
        <x:v>냉백이 남아 있으나 짚 안쪽의 엠버가 점점 주광원이 된다. 붉은 안광은 점 두 개로만 두고 주변을 빨갛게 물들이지 않는다.</x:v>
      </x:c>
      <x:c r="M17" s="304" t="str">
        <x:v>1회독에는 ‘짚이 벗겨지는 폭발’을 먼저 본다. 낫과 대검의 무게·궤적·거리 차이를 행동으로 학습</x:v>
      </x:c>
      <x:c r="N17" s="304" t="str">
        <x:v>후속 정보가 생기면 행동·배경의 의미를 재검토</x:v>
      </x:c>
      <x:c r="O17" s="304" t="str">
        <x:v>독자는 ‘거리 / 보호 / 선택’를 설명이 아니라 황혼의 판단 언어로 체화한다.</x:v>
      </x:c>
      <x:c r="P17" s="304" t="str">
        <x:v>공격 궤적·무게중심·콤보 거리 튜토리얼</x:v>
      </x:c>
      <x:c r="Q17" s="304" t="str">
        <x:v>GLOBAL-VIS-01 / 아인의 왼쪽 갈비뼈 손상 방향과 어깨 손상 연속성을 남긴다.</x:v>
      </x:c>
      <x:c r="R17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17" s="323" t="str">
        <x:v>LOCKED_v1</x:v>
      </x:c>
    </x:row>
    <x:row r="18" ht="84" customHeight="1">
      <x:c r="A18" s="312" t="str">
        <x:v>179</x:v>
      </x:c>
      <x:c r="B18" s="304" t="str">
        <x:v>F. 깨어나는 문양</x:v>
      </x:c>
      <x:c r="C18" s="304" t="str">
        <x:v>밀려나는 둘</x:v>
      </x:c>
      <x:c r="D18" s="314" t="str">
        <x:v>88%</x:v>
      </x:c>
      <x:c r="E18" s="318" t="n">
        <x:v>470</x:v>
      </x:c>
      <x:c r="F18" s="318" t="n">
        <x:v>20</x:v>
      </x:c>
      <x:c r="G18" s="318" t="n">
        <x:v>50</x:v>
      </x:c>
      <x:c r="H18" s="304" t="str">
        <x:v>24mm WIDE, 아인과 카인이 서로 다른 방향으로 밀리되 거리 관계 유지</x:v>
      </x:c>
      <x:c r="I18" s="304" t="str">
        <x:v>아인과 카인이 매트 위로 밀리며 무기 방향이 서로 엉키지 않는다. 둘 사이 거리가 벌어지고 중앙에 연기 기둥이 선다.</x:v>
      </x:c>
      <x:c r="J18" s="304" t="str">
        <x:v>텍스트 없음.</x:v>
      </x:c>
      <x:c r="K18" s="304" t="str">
        <x:v>충격파 뒤 둔한 이명과 매트 마찰.</x:v>
      </x:c>
      <x:c r="L18" s="304" t="str">
        <x:v>냉백이 남아 있으나 짚 안쪽의 엠버가 점점 주광원이 된다. 붉은 안광은 점 두 개로만 두고 주변을 빨갛게 물들이지 않는다.</x:v>
      </x:c>
      <x:c r="M18" s="304" t="str">
        <x:v>1회독에는 ‘밀려나는 둘’을 먼저 본다. 낫과 대검의 무게·궤적·거리 차이를 행동으로 학습</x:v>
      </x:c>
      <x:c r="N18" s="304" t="str">
        <x:v>후속 정보가 생기면 행동·배경의 의미를 재검토</x:v>
      </x:c>
      <x:c r="O18" s="304" t="str">
        <x:v>독자는 ‘선택 / 대가 / 침묵’를 설명이 아니라 황혼의 판단 언어로 체화한다.</x:v>
      </x:c>
      <x:c r="P18" s="304" t="str">
        <x:v>공격 궤적·무게중심·콤보 거리 튜토리얼</x:v>
      </x:c>
      <x:c r="Q18" s="304" t="str">
        <x:v>GLOBAL-VIS-01</x:v>
      </x:c>
      <x:c r="R18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18" s="323" t="str">
        <x:v>LOCKED_v1</x:v>
      </x:c>
    </x:row>
    <x:row r="19" ht="84" customHeight="1">
      <x:c r="A19" s="312" t="str">
        <x:v>180</x:v>
      </x:c>
      <x:c r="B19" s="304" t="str">
        <x:v>F. 깨어나는 문양</x:v>
      </x:c>
      <x:c r="C19" s="304" t="str">
        <x:v>끊어진 구속</x:v>
      </x:c>
      <x:c r="D19" s="314" t="str">
        <x:v>54%</x:v>
      </x:c>
      <x:c r="E19" s="318" t="n">
        <x:v>380</x:v>
      </x:c>
      <x:c r="F19" s="318" t="n">
        <x:v>10</x:v>
      </x:c>
      <x:c r="G19" s="318" t="n">
        <x:v>20</x:v>
      </x:c>
      <x:c r="H19" s="304" t="str">
        <x:v>130mm ECU, 팽팽한 사슬이 끊어지는 접점</x:v>
      </x:c>
      <x:c r="I19" s="304" t="str">
        <x:v>사슬이 바깥 충격이 아니라 안쪽 팽창에 의해 끊어진 방향을 파단면으로 보여준다.</x:v>
      </x:c>
      <x:c r="J19" s="304" t="str">
        <x:v>‘파캉!’을 파단점에 짧게.</x:v>
      </x:c>
      <x:c r="K19" s="304" t="str">
        <x:v>사슬 파단 ‘파캉!’을 선명하게.</x:v>
      </x:c>
      <x:c r="L19" s="304" t="str">
        <x:v>냉백이 남아 있으나 짚 안쪽의 엠버가 점점 주광원이 된다. 붉은 안광은 점 두 개로만 두고 주변을 빨갛게 물들이지 않는다.</x:v>
      </x:c>
      <x:c r="M19" s="304" t="str">
        <x:v>1회독에는 ‘끊어진 구속’을 먼저 본다. 낫과 대검의 무게·궤적·거리 차이를 행동으로 학습</x:v>
      </x:c>
      <x:c r="N19" s="304" t="str">
        <x:v>후속 정보가 생기면 행동·배경의 의미를 재검토</x:v>
      </x:c>
      <x:c r="O19" s="304" t="str">
        <x:v>독자는 ‘선택 / 대가 / 침묵’를 설명이 아니라 황혼의 판단 언어로 체화한다.</x:v>
      </x:c>
      <x:c r="P19" s="304" t="str">
        <x:v>공격 궤적·무게중심·콤보 거리 튜토리얼</x:v>
      </x:c>
      <x:c r="Q19" s="304" t="str">
        <x:v>GLOBAL-VIS-01</x:v>
      </x:c>
      <x:c r="R19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19" s="323" t="str">
        <x:v>LOCKED_v1</x:v>
      </x:c>
    </x:row>
    <x:row r="20" ht="84" customHeight="1">
      <x:c r="A20" s="312" t="str">
        <x:v>181</x:v>
      </x:c>
      <x:c r="B20" s="304" t="str">
        <x:v>F. 깨어나는 문양</x:v>
      </x:c>
      <x:c r="C20" s="304" t="str">
        <x:v>바닥에 남은 쇠</x:v>
      </x:c>
      <x:c r="D20" s="314" t="str">
        <x:v>56%</x:v>
      </x:c>
      <x:c r="E20" s="318" t="n">
        <x:v>380</x:v>
      </x:c>
      <x:c r="F20" s="318" t="n">
        <x:v>10</x:v>
      </x:c>
      <x:c r="G20" s="318" t="n">
        <x:v>120</x:v>
      </x:c>
      <x:c r="H20" s="304" t="str">
        <x:v>110mm INSERT, 회전하며 떨어지는 사슬 조각과 바닥</x:v>
      </x:c>
      <x:c r="I20" s="304" t="str">
        <x:v>사슬 조각이 바닥에 떨어진 뒤 한 번 튕겨 멈춘다. 이어지는 넓은 무음 공간을 위한 작은 소리의 마침표다.</x:v>
      </x:c>
      <x:c r="J20" s="304" t="str">
        <x:v>‘챙그랑’을 바닥에 닿은 조각 아래에 작게. 이후 무음.</x:v>
      </x:c>
      <x:c r="K20" s="304" t="str">
        <x:v>‘챙그랑’ 한 번, 한 번 튕기고 멎음. 이후 무음.</x:v>
      </x:c>
      <x:c r="L20" s="304" t="str">
        <x:v>냉백이 남아 있으나 짚 안쪽의 엠버가 점점 주광원이 된다. 붉은 안광은 점 두 개로만 두고 주변을 빨갛게 물들이지 않는다.</x:v>
      </x:c>
      <x:c r="M20" s="304" t="str">
        <x:v>1회독에는 ‘바닥에 남은 쇠’을 먼저 본다. 낫과 대검의 무게·궤적·거리 차이를 행동으로 학습</x:v>
      </x:c>
      <x:c r="N20" s="304" t="str">
        <x:v>후속 정보가 생기면 행동·배경의 의미를 재검토</x:v>
      </x:c>
      <x:c r="O20" s="304" t="str">
        <x:v>독자는 ‘선택 / 대가 / 침묵’를 설명이 아니라 황혼의 판단 언어로 체화한다.</x:v>
      </x:c>
      <x:c r="P20" s="304" t="str">
        <x:v>공격 궤적·무게중심·콤보 거리 튜토리얼</x:v>
      </x:c>
      <x:c r="Q20" s="304" t="str">
        <x:v>GLOBAL-VIS-01</x:v>
      </x:c>
      <x:c r="R20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20" s="323" t="str">
        <x:v>LOCKED_v1</x:v>
      </x:c>
    </x:row>
    <x:row r="21" ht="84" customHeight="1">
      <x:c r="A21" s="312" t="str">
        <x:v>182</x:v>
      </x:c>
      <x:c r="B21" s="304" t="str">
        <x:v>G. 짚 아래의 몸</x:v>
      </x:c>
      <x:c r="C21" s="304" t="str">
        <x:v>연기 속에 선 것</x:v>
      </x:c>
      <x:c r="D21" s="314" t="str">
        <x:v>88%</x:v>
      </x:c>
      <x:c r="E21" s="318" t="n">
        <x:v>470</x:v>
      </x:c>
      <x:c r="F21" s="318" t="n">
        <x:v>70</x:v>
      </x:c>
      <x:c r="G21" s="318" t="n">
        <x:v>80</x:v>
      </x:c>
      <x:c r="H21" s="304" t="str">
        <x:v>28mm WIDE, 연기 기둥 중앙의 실루엣과 양옆으로 낮게 쓰러진 두 사람</x:v>
      </x:c>
      <x:c r="I21" s="304" t="str">
        <x:v>연기 속 실루엣은 사람형이지만 팔 길이와 어깨 위치가 비정상적이다. 전신을 아직 완전히 보여주지 않는다.</x:v>
      </x:c>
      <x:c r="J21" s="304" t="str">
        <x:v>텍스트 없음.</x:v>
      </x:c>
      <x:c r="K21" s="304" t="str">
        <x:v>연기 속 아주 낮은 강선 마찰만.</x:v>
      </x:c>
      <x:c r="L21" s="304" t="str">
        <x:v>냉백이 남아 있으나 짚 안쪽의 엠버가 점점 주광원이 된다. 붉은 안광은 점 두 개로만 두고 주변을 빨갛게 물들이지 않는다.</x:v>
      </x:c>
      <x:c r="M21" s="304" t="str">
        <x:v>1회독에는 ‘연기 속에 선 것’을 먼저 본다. 낫과 대검의 무게·궤적·거리 차이를 행동으로 학습</x:v>
      </x:c>
      <x:c r="N21" s="304" t="str">
        <x:v>후속 정보가 생기면 행동·배경의 의미를 재검토</x:v>
      </x:c>
      <x:c r="O21" s="304" t="str">
        <x:v>독자는 ‘선택 / 대가 / 침묵’를 설명이 아니라 황혼의 판단 언어로 체화한다.</x:v>
      </x:c>
      <x:c r="P21" s="304" t="str">
        <x:v>공격 궤적·무게중심·콤보 거리 튜토리얼</x:v>
      </x:c>
      <x:c r="Q21" s="304" t="str">
        <x:v>GLOBAL-VIS-01</x:v>
      </x:c>
      <x:c r="R21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21" s="323" t="str">
        <x:v>LOCKED_v1</x:v>
      </x:c>
    </x:row>
    <x:row r="22" ht="84" customHeight="1">
      <x:c r="A22" s="312" t="str">
        <x:v>183</x:v>
      </x:c>
      <x:c r="B22" s="304" t="str">
        <x:v>G. 짚 아래의 몸</x:v>
      </x:c>
      <x:c r="C22" s="304" t="str">
        <x:v>눈이 생긴 자리</x:v>
      </x:c>
      <x:c r="D22" s="314" t="str">
        <x:v>54%</x:v>
      </x:c>
      <x:c r="E22" s="318" t="n">
        <x:v>400</x:v>
      </x:c>
      <x:c r="F22" s="318" t="n">
        <x:v>20</x:v>
      </x:c>
      <x:c r="G22" s="318" t="n">
        <x:v>50</x:v>
      </x:c>
      <x:c r="H22" s="304" t="str">
        <x:v>130mm ECU, 연기 속 붉은 점 두 개만</x:v>
      </x:c>
      <x:c r="I22" s="304" t="str">
        <x:v>붉은 안광 두 점의 높이 차이를 아주 미세하게 두어 고개 기울기를 암시한다. 눈 주변 얼굴 형상은 그리지 않는다.</x:v>
      </x:c>
      <x:c r="J22" s="304" t="str">
        <x:v>텍스트 없음.</x:v>
      </x:c>
      <x:c r="K22" s="304" t="str">
        <x:v>무음에 가까운 저주파. 안광에 전자 삑음 금지.</x:v>
      </x:c>
      <x:c r="L22" s="304" t="str">
        <x:v>냉백이 남아 있으나 짚 안쪽의 엠버가 점점 주광원이 된다. 붉은 안광은 점 두 개로만 두고 주변을 빨갛게 물들이지 않는다.</x:v>
      </x:c>
      <x:c r="M22" s="304" t="str">
        <x:v>1회독에는 ‘눈이 생긴 자리’을 먼저 본다. 낫과 대검의 무게·궤적·거리 차이를 행동으로 학습</x:v>
      </x:c>
      <x:c r="N22" s="304" t="str">
        <x:v>후속 정보가 생기면 행동·배경의 의미를 재검토</x:v>
      </x:c>
      <x:c r="O22" s="304" t="str">
        <x:v>독자는 ‘선택 / 대가 / 침묵’를 설명이 아니라 황혼의 판단 언어로 체화한다.</x:v>
      </x:c>
      <x:c r="P22" s="304" t="str">
        <x:v>공격 궤적·무게중심·콤보 거리 튜토리얼</x:v>
      </x:c>
      <x:c r="Q22" s="304" t="str">
        <x:v>GLOBAL-VIS-01 / 붉은 안광 두 점 외 얼굴 금지.</x:v>
      </x:c>
      <x:c r="R22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22" s="323" t="str">
        <x:v>LOCKED_v1</x:v>
      </x:c>
    </x:row>
    <x:row r="23" ht="84" customHeight="1">
      <x:c r="A23" s="312" t="str">
        <x:v>184</x:v>
      </x:c>
      <x:c r="B23" s="304" t="str">
        <x:v>G. 짚 아래의 몸</x:v>
      </x:c>
      <x:c r="C23" s="304" t="str">
        <x:v>일어나는 몸</x:v>
      </x:c>
      <x:c r="D23" s="314" t="str">
        <x:v>72%</x:v>
      </x:c>
      <x:c r="E23" s="318" t="n">
        <x:v>430</x:v>
      </x:c>
      <x:c r="F23" s="318" t="n">
        <x:v>10</x:v>
      </x:c>
      <x:c r="G23" s="318" t="n">
        <x:v>20</x:v>
      </x:c>
      <x:c r="H23" s="304" t="str">
        <x:v>55mm MS LOW, 연기가 걷히며 상체 윤곽이 나타나는 순차 공개</x:v>
      </x:c>
      <x:c r="I23" s="304" t="str">
        <x:v>연기가 아래부터 걷히며 발·다리·몸통 순으로 드러난다. 엠버가 내부에서 바깥 표면을 비춘다.</x:v>
      </x:c>
      <x:c r="J23" s="304" t="str">
        <x:v>‘그드득’을 관절 방향을 따라 짧게.</x:v>
      </x:c>
      <x:c r="K23" s="304" t="str">
        <x:v>‘그드득’이 연기 뒤에서 가까워진다.</x:v>
      </x:c>
      <x:c r="L23" s="304" t="str">
        <x:v>냉백이 남아 있으나 짚 안쪽의 엠버가 점점 주광원이 된다. 붉은 안광은 점 두 개로만 두고 주변을 빨갛게 물들이지 않는다.</x:v>
      </x:c>
      <x:c r="M23" s="304" t="str">
        <x:v>1회독에는 ‘일어나는 몸’을 먼저 본다. 낫과 대검의 무게·궤적·거리 차이를 행동으로 학습</x:v>
      </x:c>
      <x:c r="N23" s="304" t="str">
        <x:v>후속 정보가 생기면 행동·배경의 의미를 재검토</x:v>
      </x:c>
      <x:c r="O23" s="304" t="str">
        <x:v>독자는 ‘선택 / 대가 / 침묵’를 설명이 아니라 황혼의 판단 언어로 체화한다.</x:v>
      </x:c>
      <x:c r="P23" s="304" t="str">
        <x:v>공격 궤적·무게중심·콤보 거리 튜토리얼</x:v>
      </x:c>
      <x:c r="Q23" s="304" t="str">
        <x:v>GLOBAL-VIS-01</x:v>
      </x:c>
      <x:c r="R23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23" s="323" t="str">
        <x:v>LOCKED_v1</x:v>
      </x:c>
    </x:row>
    <x:row r="24" ht="84" customHeight="1">
      <x:c r="A24" s="312" t="str">
        <x:v>185</x:v>
      </x:c>
      <x:c r="B24" s="304" t="str">
        <x:v>G. 짚 아래의 몸</x:v>
      </x:c>
      <x:c r="C24" s="304" t="str">
        <x:v>짚 아래의 골격</x:v>
      </x:c>
      <x:c r="D24" s="314" t="str">
        <x:v>64%</x:v>
      </x:c>
      <x:c r="E24" s="318" t="n">
        <x:v>400</x:v>
      </x:c>
      <x:c r="F24" s="318" t="n">
        <x:v>10</x:v>
      </x:c>
      <x:c r="G24" s="318" t="n">
        <x:v>20</x:v>
      </x:c>
      <x:c r="H24" s="304" t="str">
        <x:v>100mm CU, 짚 껍질 아래 얽힌 철사 근육</x:v>
      </x:c>
      <x:c r="I24" s="304" t="str">
        <x:v>짚 껍질이 벗겨진 자리에서 나노 강선이 근육 다발처럼 수축한다. 기계 부품 조립물보다 살아 있는 조직에 가깝게 보인다.</x:v>
      </x:c>
      <x:c r="J24" s="304" t="str">
        <x:v>텍스트 없음.</x:v>
      </x:c>
      <x:c r="K24" s="304" t="str">
        <x:v>강선이 서로 스치는 젖지 않은 금속 마찰.</x:v>
      </x:c>
      <x:c r="L24" s="304" t="str">
        <x:v>냉백이 남아 있으나 짚 안쪽의 엠버가 점점 주광원이 된다. 붉은 안광은 점 두 개로만 두고 주변을 빨갛게 물들이지 않는다.</x:v>
      </x:c>
      <x:c r="M24" s="304" t="str">
        <x:v>1회독에는 ‘짚 아래의 골격’을 먼저 본다. 낫과 대검의 무게·궤적·거리 차이를 행동으로 학습</x:v>
      </x:c>
      <x:c r="N24" s="304" t="str">
        <x:v>후속 정보가 생기면 행동·배경의 의미를 재검토</x:v>
      </x:c>
      <x:c r="O24" s="304" t="str">
        <x:v>독자는 ‘선택 / 대가 / 침묵’를 설명이 아니라 황혼의 판단 언어로 체화한다.</x:v>
      </x:c>
      <x:c r="P24" s="304" t="str">
        <x:v>공격 궤적·무게중심·콤보 거리 튜토리얼</x:v>
      </x:c>
      <x:c r="Q24" s="304" t="str">
        <x:v>GLOBAL-VIS-01</x:v>
      </x:c>
      <x:c r="R24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24" s="323" t="str">
        <x:v>LOCKED_v1</x:v>
      </x:c>
    </x:row>
    <x:row r="25" ht="84" customHeight="1">
      <x:c r="A25" s="312" t="str">
        <x:v>186</x:v>
      </x:c>
      <x:c r="B25" s="304" t="str">
        <x:v>G. 짚 아래의 몸</x:v>
      </x:c>
      <x:c r="C25" s="304" t="str">
        <x:v>사람과 다른 관절</x:v>
      </x:c>
      <x:c r="D25" s="314" t="str">
        <x:v>64%</x:v>
      </x:c>
      <x:c r="E25" s="318" t="n">
        <x:v>400</x:v>
      </x:c>
      <x:c r="F25" s="318" t="n">
        <x:v>20</x:v>
      </x:c>
      <x:c r="G25" s="318" t="n">
        <x:v>50</x:v>
      </x:c>
      <x:c r="H25" s="304" t="str">
        <x:v>120mm CU, 인간과 반대 방향으로 돌아가는 관절</x:v>
      </x:c>
      <x:c r="I25" s="304" t="str">
        <x:v>관절은 한 번 걸렸다가 반대 방향으로 돌아간다. 인간의 운동범위를 넘어서는 공포를 작은 동작으로 만든다.</x:v>
      </x:c>
      <x:c r="J25" s="304" t="str">
        <x:v>‘그드득’을 이전보다 낮고 가까이.</x:v>
      </x:c>
      <x:c r="K25" s="304" t="str">
        <x:v>관절 ‘그드득’ 한 번. 인간 뼈 부러지는 소리와 구분.</x:v>
      </x:c>
      <x:c r="L25" s="304" t="str">
        <x:v>냉백이 남아 있으나 짚 안쪽의 엠버가 점점 주광원이 된다. 붉은 안광은 점 두 개로만 두고 주변을 빨갛게 물들이지 않는다.</x:v>
      </x:c>
      <x:c r="M25" s="304" t="str">
        <x:v>1회독에는 ‘사람과 다른 관절’을 먼저 본다. 낫과 대검의 무게·궤적·거리 차이를 행동으로 학습</x:v>
      </x:c>
      <x:c r="N25" s="304" t="str">
        <x:v>후속 정보가 생기면 행동·배경의 의미를 재검토</x:v>
      </x:c>
      <x:c r="O25" s="304" t="str">
        <x:v>독자는 ‘선택 / 대가 / 침묵’를 설명이 아니라 황혼의 판단 언어로 체화한다.</x:v>
      </x:c>
      <x:c r="P25" s="304" t="str">
        <x:v>공격 궤적·무게중심·콤보 거리 튜토리얼</x:v>
      </x:c>
      <x:c r="Q25" s="304" t="str">
        <x:v>GLOBAL-VIS-01</x:v>
      </x:c>
      <x:c r="R25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25" s="323" t="str">
        <x:v>LOCKED_v1</x:v>
      </x:c>
    </x:row>
    <x:row r="26" ht="84" customHeight="1">
      <x:c r="A26" s="312" t="str">
        <x:v>187</x:v>
      </x:c>
      <x:c r="B26" s="304" t="str">
        <x:v>G. 짚 아래의 몸</x:v>
      </x:c>
      <x:c r="C26" s="304" t="str">
        <x:v>광원을 빼앗은 보스</x:v>
      </x:c>
      <x:c r="D26" s="314" t="str">
        <x:v>100% BLEED</x:v>
      </x:c>
      <x:c r="E26" s="318" t="n">
        <x:v>3500</x:v>
      </x:c>
      <x:c r="F26" s="318" t="n">
        <x:v>90</x:v>
      </x:c>
      <x:c r="G26" s="318" t="n">
        <x:v>180</x:v>
      </x:c>
      <x:c r="H26" s="304" t="str">
        <x:v>18mm LOW VERTICAL BLEED, 발끝에서 머리까지 3m 전신을 올려다보며 놈이 유일한 광원이 됨</x:v>
      </x:c>
      <x:c r="I26" s="304" t="str">
        <x:v>놈이 화면을 채우되 발과 머리 모두 보여 3m 크기를 고정한다. 아래에서 솟는 엠버 때문에 두 사람의 그림자가 벽 위로 길게 올라가고, 훈련장 냉백은 사실상 죽는다.</x:v>
      </x:c>
      <x:c r="J26" s="304" t="str">
        <x:v>‘그드드득’을 하단 발쪽에서 시작해 전신 옆으로 올라가게 한다. 이름·보스명 자막 금지.</x:v>
      </x:c>
      <x:c r="K26" s="304" t="str">
        <x:v>놈 내부 저주파와 ‘그드드득’. 형광등 웅음은 거의 사라지고 공간 전체가 놈의 진동에 맞춰 울린다.</x:v>
      </x:c>
      <x:c r="L26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26" s="304" t="str">
        <x:v>허수아비가 3m 보스로 완전히 전환되고 광원까지 장악한다.</x:v>
      </x:c>
      <x:c r="N26" s="304" t="str">
        <x:v>평범한 훈련 표적이 광원을 빼앗는 순간은 보스 페이즈 전환이면서, 벙커 내부도 완전히 통제된 안전지대가 아니었음을 다시 읽게 한다.</x:v>
      </x:c>
      <x:c r="O26" s="304" t="str">
        <x:v>독자는 ‘거리 / 박자 / 원 / 각인’를 설명이 아니라 황혼의 판단 언어로 체화한다.</x:v>
      </x:c>
      <x:c r="P26" s="304" t="str">
        <x:v>보스 페이즈 전환 컷신. 광원·음향·공간 위험도가 동시에 바뀌지만 보스명 팝업은 컷신 뒤로 미룬다.</x:v>
      </x:c>
      <x:c r="Q26" s="304" t="str">
        <x:v>필수 정보·좌우·거리 판독성 우선 / GLOBAL-VIS-01 / 엠버가 유일한 주광원. 청록 금지. 3m 전신·발·머리 모두 프레임에.</x:v>
      </x:c>
      <x:c r="R26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26" s="323" t="str">
        <x:v>LOCKED_v1</x:v>
      </x:c>
    </x:row>
    <x:row r="27" ht="84" customHeight="1">
      <x:c r="A27" s="312" t="str">
        <x:v>188</x:v>
      </x:c>
      <x:c r="B27" s="304" t="str">
        <x:v>H. 도망갈 데 없는 선택</x:v>
      </x:c>
      <x:c r="C27" s="304" t="str">
        <x:v>피하라는 가르침</x:v>
      </x:c>
      <x:c r="D27" s="314" t="str">
        <x:v>76%</x:v>
      </x:c>
      <x:c r="E27" s="318" t="n">
        <x:v>800</x:v>
      </x:c>
      <x:c r="F27" s="318" t="n">
        <x:v>80</x:v>
      </x:c>
      <x:c r="G27" s="318" t="n">
        <x:v>20</x:v>
      </x:c>
      <x:c r="H27" s="304" t="str">
        <x:v>85mm CU 1/3, 판단이 끝난 아인의 얼굴</x:v>
      </x:c>
      <x:c r="I27" s="304" t="str">
        <x:v>표정 변화는 크지 않다. 도망치는 선택지를 이미 버린 눈만 남기고, 첫 나레이션을 얼굴 옆 빈 공간에 둔다.</x:v>
      </x:c>
      <x:c r="J27" s="304" t="str">
        <x:v>나레이션 첫 문장만 얼굴 옆 빈 공간에: 「감당 못 할 건 건드리지 마라.」</x:v>
      </x:c>
      <x:c r="K27" s="304" t="str">
        <x:v>음악 없이 낮은 진동만. 나레이션 사이에 충분한 무음.</x:v>
      </x:c>
      <x:c r="L27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27" s="304" t="str">
        <x:v>1회독에는 ‘피하라는 가르침’을 먼저 본다. 허수아비가 보스로 전환되고 예비동작과 이중 음성을 노출</x:v>
      </x:c>
      <x:c r="N27" s="304" t="str">
        <x:v>시그니처 상징의 기원</x:v>
      </x:c>
      <x:c r="O27" s="304" t="str">
        <x:v>독자는 ‘관찰 / 예비동작 / 공포’를 설명이 아니라 황혼의 판단 언어로 체화한다.</x:v>
      </x:c>
      <x:c r="P27" s="304" t="str">
        <x:v>예비동작 읽기·보스 페이즈 전환</x:v>
      </x:c>
      <x:c r="Q27" s="304" t="str">
        <x:v>아인 왼쪽 견갑·오른쪽 건틀릿 좌우 고정 / GLOBAL-VIS-01 / 감정을 이름으로 부르지 않는다.</x:v>
      </x:c>
      <x:c r="R27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27" s="323" t="str">
        <x:v>LOCKED_v1</x:v>
      </x:c>
    </x:row>
    <x:row r="28" ht="84" customHeight="1">
      <x:c r="A28" s="312" t="str">
        <x:v>189</x:v>
      </x:c>
      <x:c r="B28" s="304" t="str">
        <x:v>H. 도망갈 데 없는 선택</x:v>
      </x:c>
      <x:c r="C28" s="304" t="str">
        <x:v>2년을 지킨 손</x:v>
      </x:c>
      <x:c r="D28" s="314" t="str">
        <x:v>76%</x:v>
      </x:c>
      <x:c r="E28" s="318" t="n">
        <x:v>800</x:v>
      </x:c>
      <x:c r="F28" s="318" t="n">
        <x:v>10</x:v>
      </x:c>
      <x:c r="G28" s="318" t="n">
        <x:v>20</x:v>
      </x:c>
      <x:c r="H28" s="304" t="str">
        <x:v>110mm ECU 2/3, 낫자루를 쥔 오른손과 건틀릿</x:v>
      </x:c>
      <x:c r="I28" s="304" t="str">
        <x:v>손은 떨리지 않고 낫자루를 한 번 더 감아 쥔다. 2년의 생존 원칙이 무기 그립으로 바뀌는 순간이다.</x:v>
      </x:c>
      <x:c r="J28" s="304" t="str">
        <x:v>나레이션 두 번째를 손 위쪽에 두 행으로: 「그렇게 배웠고, / 2년 동안 그 말만 지켰다.」</x:v>
      </x:c>
      <x:c r="K28" s="304" t="str">
        <x:v>낫자루가 건틀릿 안에서 아주 작게 우는 소리.</x:v>
      </x:c>
      <x:c r="L28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28" s="304" t="str">
        <x:v>1회독에는 ‘2년을 지킨 손’을 먼저 본다. 허수아비가 보스로 전환되고 예비동작과 이중 음성을 노출</x:v>
      </x:c>
      <x:c r="N28" s="304" t="str">
        <x:v>시그니처 상징의 기원</x:v>
      </x:c>
      <x:c r="O28" s="304" t="str">
        <x:v>독자는 ‘손 / 놓침 / 책임 / 거리’를 설명이 아니라 황혼의 판단 언어로 체화한다.</x:v>
      </x:c>
      <x:c r="P28" s="304" t="str">
        <x:v>예비동작 읽기·보스 페이즈 전환</x:v>
      </x:c>
      <x:c r="Q28" s="304" t="str">
        <x:v>아인 왼쪽 견갑·오른쪽 건틀릿 좌우 고정 / GLOBAL-VIS-01</x:v>
      </x:c>
      <x:c r="R28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28" s="323" t="str">
        <x:v>LOCKED_v1</x:v>
      </x:c>
    </x:row>
    <x:row r="29" ht="84" customHeight="1">
      <x:c r="A29" s="312" t="str">
        <x:v>190</x:v>
      </x:c>
      <x:c r="B29" s="304" t="str">
        <x:v>H. 도망갈 데 없는 선택</x:v>
      </x:c>
      <x:c r="C29" s="304" t="str">
        <x:v>출구 없는 선택</x:v>
      </x:c>
      <x:c r="D29" s="314" t="str">
        <x:v>76%</x:v>
      </x:c>
      <x:c r="E29" s="318" t="n">
        <x:v>1200</x:v>
      </x:c>
      <x:c r="F29" s="318" t="n">
        <x:v>10</x:v>
      </x:c>
      <x:c r="G29" s="318" t="n">
        <x:v>160</x:v>
      </x:c>
      <x:c r="H29" s="304" t="str">
        <x:v>24mm WIDE 3/3, 출구 없는 프레임 안에서 두 사람과 3m 놈의 크기 대비</x:v>
      </x:c>
      <x:c r="I29" s="304" t="str">
        <x:v>프레임 어느 가장자리에도 문·계단·관측창을 넣지 않는다. 도망갈 데가 없다는 사실을 공간의 삭제로 보여준다.</x:v>
      </x:c>
      <x:c r="J29" s="304" t="str">
        <x:v>나레이션 마지막을 출구가 없는 상단 공간에: 「그런데 도망갈 데가 없었다.」</x:v>
      </x:c>
      <x:c r="K29" s="304" t="str">
        <x:v>호흡 두 개와 놈의 저주파. 출구 쪽 생활 소음은 완전히 제거.</x:v>
      </x:c>
      <x:c r="L29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29" s="304" t="str">
        <x:v>1회독에는 ‘출구 없는 선택’을 먼저 본다. 허수아비가 보스로 전환되고 예비동작과 이중 음성을 노출</x:v>
      </x:c>
      <x:c r="N29" s="304" t="str">
        <x:v>시그니처 상징의 기원</x:v>
      </x:c>
      <x:c r="O29" s="304" t="str">
        <x:v>독자는 ‘관찰 / 예비동작 / 공포’를 설명이 아니라 황혼의 판단 언어로 체화한다.</x:v>
      </x:c>
      <x:c r="P29" s="304" t="str">
        <x:v>예비동작 읽기·보스 페이즈 전환</x:v>
      </x:c>
      <x:c r="Q29" s="304" t="str">
        <x:v>아인 왼쪽 견갑·오른쪽 건틀릿 좌우 고정 / GLOBAL-VIS-01 / 출구·문·계단을 프레임에 넣지 않는다.</x:v>
      </x:c>
      <x:c r="R29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29" s="323" t="str">
        <x:v>LOCKED_v1</x:v>
      </x:c>
    </x:row>
    <x:row r="30" ht="84" customHeight="1">
      <x:c r="A30" s="312" t="str">
        <x:v>191</x:v>
      </x:c>
      <x:c r="B30" s="304" t="str">
        <x:v>H. 도망갈 데 없는 선택</x:v>
      </x:c>
      <x:c r="C30" s="304" t="str">
        <x:v>가격으로 숨을 고르다</x:v>
      </x:c>
      <x:c r="D30" s="314" t="str">
        <x:v>72%</x:v>
      </x:c>
      <x:c r="E30" s="318" t="n">
        <x:v>900</x:v>
      </x:c>
      <x:c r="F30" s="318" t="n">
        <x:v>20</x:v>
      </x:c>
      <x:c r="G30" s="318" t="n">
        <x:v>50</x:v>
      </x:c>
      <x:c r="H30" s="304" t="str">
        <x:v>55mm MS, 카인이 대검을 고쳐 쥐며 농담으로 호흡을 고르는 장면</x:v>
      </x:c>
      <x:c r="I30" s="304" t="str">
        <x:v>카인의 농담은 공포를 없애지 않고 호흡 하나를 만들어 준다. 대검은 양손으로 고쳐 쥐되 몸은 아인의 반보 뒤에 남는다.</x:v>
      </x:c>
      <x:c r="J30" s="304" t="str">
        <x:v>작은 말풍선 하나. 「…30만 원짜리 짚단이 아닌데.」 농담 폰트 금지.</x:v>
      </x:c>
      <x:c r="K30" s="304" t="str">
        <x:v>카인 대사, 대검 손잡이 재정렬 금속음.</x:v>
      </x:c>
      <x:c r="L30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30" s="304" t="str">
        <x:v>1회독에는 ‘가격으로 숨을 고르다’을 먼저 본다. 허수아비가 보스로 전환되고 예비동작과 이중 음성을 노출</x:v>
      </x:c>
      <x:c r="N30" s="304" t="str">
        <x:v>후속 정보가 생기면 행동·배경의 의미를 재검토</x:v>
      </x:c>
      <x:c r="O30" s="304" t="str">
        <x:v>독자는 ‘관찰 / 예비동작 / 공포’를 설명이 아니라 황혼의 판단 언어로 체화한다.</x:v>
      </x:c>
      <x:c r="P30" s="304" t="str">
        <x:v>예비동작 읽기·보스 페이즈 전환</x:v>
      </x:c>
      <x:c r="Q30" s="304" t="str">
        <x:v>GLOBAL-VIS-01 / 카인은 여전히 아인의 반보 뒤. 대검 무게 유지.</x:v>
      </x:c>
      <x:c r="R30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30" s="323" t="str">
        <x:v>LOCKED_v1</x:v>
      </x:c>
    </x:row>
    <x:row r="31" ht="84" customHeight="1">
      <x:c r="A31" s="312" t="str">
        <x:v>192</x:v>
      </x:c>
      <x:c r="B31" s="304" t="str">
        <x:v>H. 도망갈 데 없는 선택</x:v>
      </x:c>
      <x:c r="C31" s="304" t="str">
        <x:v>기울어진 응시</x:v>
      </x:c>
      <x:c r="D31" s="314" t="str">
        <x:v>64%</x:v>
      </x:c>
      <x:c r="E31" s="318" t="n">
        <x:v>800</x:v>
      </x:c>
      <x:c r="F31" s="318" t="n">
        <x:v>20</x:v>
      </x:c>
      <x:c r="G31" s="318" t="n">
        <x:v>50</x:v>
      </x:c>
      <x:c r="H31" s="304" t="str">
        <x:v>100mm CU, 붉은 안광과 고개가 비정상 각도로 기울어지는 순간</x:v>
      </x:c>
      <x:c r="I31" s="304" t="str">
        <x:v>놈은 말을 하기 전 고개를 인간과 다른 각도로 기울인다. ‘듣고 분석한다’는 느낌보다 신호를 맞추는 동작처럼 보이게 한다.</x:v>
      </x:c>
      <x:c r="J31" s="304" t="str">
        <x:v>텍스트 없음.</x:v>
      </x:c>
      <x:c r="K31" s="304" t="str">
        <x:v>고개가 기울 때 강선 한 줄이 당겨지는 소리.</x:v>
      </x:c>
      <x:c r="L31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31" s="304" t="str">
        <x:v>1회독에는 ‘기울어진 응시’을 먼저 본다. 허수아비가 보스로 전환되고 예비동작과 이중 음성을 노출</x:v>
      </x:c>
      <x:c r="N31" s="304" t="str">
        <x:v>후속 정보가 생기면 행동·배경의 의미를 재검토</x:v>
      </x:c>
      <x:c r="O31" s="304" t="str">
        <x:v>독자는 ‘관찰 / 예비동작 / 공포’를 설명이 아니라 황혼의 판단 언어로 체화한다.</x:v>
      </x:c>
      <x:c r="P31" s="304" t="str">
        <x:v>예비동작 읽기·보스 페이즈 전환</x:v>
      </x:c>
      <x:c r="Q31" s="304" t="str">
        <x:v>GLOBAL-VIS-01</x:v>
      </x:c>
      <x:c r="R31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31" s="323" t="str">
        <x:v>LOCKED_v1</x:v>
      </x:c>
    </x:row>
    <x:row r="32" ht="84" customHeight="1">
      <x:c r="A32" s="312" t="str">
        <x:v>193</x:v>
      </x:c>
      <x:c r="B32" s="304" t="str">
        <x:v>H. 도망갈 데 없는 선택</x:v>
      </x:c>
      <x:c r="C32" s="304" t="str">
        <x:v>두 겹의 목소리</x:v>
      </x:c>
      <x:c r="D32" s="314" t="str">
        <x:v>88%</x:v>
      </x:c>
      <x:c r="E32" s="318" t="n">
        <x:v>2500</x:v>
      </x:c>
      <x:c r="F32" s="318" t="n">
        <x:v>30</x:v>
      </x:c>
      <x:c r="G32" s="318" t="n">
        <x:v>140</x:v>
      </x:c>
      <x:c r="H32" s="304" t="str">
        <x:v>70mm CU, 입 없는 상체와 두 겹 말풍선이 함께 읽히는 정면</x:v>
      </x:c>
      <x:c r="I32" s="304" t="str">
        <x:v>앞 말풍선에는 보스 대사를, 뒤겹에는 글자 없는 규칙적 파형을 둔다. 파형이 장식처럼 화려하거나 청록색으로 빛나지 않게 한다.</x:v>
      </x:c>
      <x:c r="J32" s="304" t="str">
        <x:v>앞 말풍선에 「어설프다… 벌레 같은 인간놈들!」. 뒤겹에는 글자가 없는 규칙적 파형만 두며 두 레이어 사이 간격을 보존한다.</x:v>
      </x:c>
      <x:c r="K32" s="304" t="str">
        <x:v>앞 음성은 거칠고 크며, 뒤에는 같은 박자로 끊기는 작은 비언어 신호를 실제 오디오 레이어로 겹친다.</x:v>
      </x:c>
      <x:c r="L32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32" s="304" t="str">
        <x:v>보스의 말 뒤에 글자 없는 두 번째 신호가 겹친다는 이상을 듣는다.</x:v>
      </x:c>
      <x:c r="N32" s="304" t="str">
        <x:v>두 겹 목소리가 처음부터 신호와 발화의 중첩이었다는 사실이 후반 호출·응답 구조와 연결된다.</x:v>
      </x:c>
      <x:c r="O32" s="304" t="str">
        <x:v>독자는 ‘호출 / 배양 / 응답’를 설명이 아니라 황혼의 판단 언어로 체화한다.</x:v>
      </x:c>
      <x:c r="P32" s="304" t="str">
        <x:v>재청취 시 앞 음성과 뒤 신호 레이어가 분리되어 들리는 사운드 로어. 즉각적인 해독 UI는 제공하지 않는다.</x:v>
      </x:c>
      <x:c r="Q32" s="304" t="str">
        <x:v>복선 강조 금지 / GLOBAL-VIS-01 / 이중 말풍선: 앞 글자, 뒤 글자 없는 파형. 파형 청록 금지. PAYOFF 계약이지만 현시점 과잉 강조 금지.</x:v>
      </x:c>
      <x:c r="R32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32" s="323" t="str">
        <x:v>LOCKED_v1</x:v>
      </x:c>
    </x:row>
    <x:row r="33" ht="84" customHeight="1">
      <x:c r="A33" s="312" t="str">
        <x:v>194</x:v>
      </x:c>
      <x:c r="B33" s="304" t="str">
        <x:v>H. 도망갈 데 없는 선택</x:v>
      </x:c>
      <x:c r="C33" s="304" t="str">
        <x:v>소리 뒤의 신호</x:v>
      </x:c>
      <x:c r="D33" s="314" t="str">
        <x:v>64%</x:v>
      </x:c>
      <x:c r="E33" s="318" t="n">
        <x:v>800</x:v>
      </x:c>
      <x:c r="F33" s="318" t="n">
        <x:v>20</x:v>
      </x:c>
      <x:c r="G33" s="318" t="n">
        <x:v>90</x:v>
      </x:c>
      <x:c r="H33" s="304" t="str">
        <x:v>100mm CU, 아인의 귀 쪽 실루엣과 좁아진 눈</x:v>
      </x:c>
      <x:c r="I33" s="304" t="str">
        <x:v>아인은 입 모양보다 귀에 겹친 신호를 듣는 표정으로 반응한다. ‘두 개’라는 말을 강조 색이나 큰 글씨로 만들지 않는다.</x:v>
      </x:c>
      <x:c r="J33" s="304" t="str">
        <x:v>「…방금, 목소리가 두 개였어.」 한 말풍선. ‘두 개’를 색이나 굵기로 강조하지 않는다.</x:v>
      </x:c>
      <x:c r="K33" s="304" t="str">
        <x:v>대사 뒤 짧은 무음. 별도 ‘띠용’이나 경고음 금지.</x:v>
      </x:c>
      <x:c r="L33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33" s="304" t="str">
        <x:v>1회독에는 ‘소리 뒤의 신호’을 먼저 본다. 허수아비가 보스로 전환되고 예비동작과 이중 음성을 노출</x:v>
      </x:c>
      <x:c r="N33" s="304" t="str">
        <x:v>EP27에서 두 목소리와 공명의 정체가 회수됨 PAYOFF: EP27: 두 목소리·호출 신호</x:v>
      </x:c>
      <x:c r="O33" s="304" t="str">
        <x:v>독자는 ‘관찰 / 예비동작 / 공포’를 설명이 아니라 황혼의 판단 언어로 체화한다.</x:v>
      </x:c>
      <x:c r="P33" s="304" t="str">
        <x:v>예비동작 읽기·보스 페이즈 전환 / 음성 레이어를 분리해 재청취 시 다른 신호가 들리게 설계</x:v>
      </x:c>
      <x:c r="Q33" s="304" t="str">
        <x:v>아인 왼쪽 견갑·오른쪽 건틀릿 좌우 고정 / GLOBAL-VIS-01 / ‘두 개’를 굵기·색으로 강조하지 않는다.</x:v>
      </x:c>
      <x:c r="R33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33" s="323" t="str">
        <x:v>LOCKED_v1</x:v>
      </x:c>
    </x:row>
    <x:row r="34" ht="84" customHeight="1">
      <x:c r="A34" s="312" t="str">
        <x:v>195</x:v>
      </x:c>
      <x:c r="B34" s="304" t="str">
        <x:v>I. 공격 예비동작</x:v>
      </x:c>
      <x:c r="C34" s="304" t="str">
        <x:v>예비동작 1 — 어깨</x:v>
      </x:c>
      <x:c r="D34" s="314" t="str">
        <x:v>76%</x:v>
      </x:c>
      <x:c r="E34" s="318" t="n">
        <x:v>500</x:v>
      </x:c>
      <x:c r="F34" s="318" t="n">
        <x:v>50</x:v>
      </x:c>
      <x:c r="G34" s="318" t="n">
        <x:v>10</x:v>
      </x:c>
      <x:c r="H34" s="304" t="str">
        <x:v>100mm INSERT 1/5, 어깨 축이 뒤로 감기는 회전 시작</x:v>
      </x:c>
      <x:c r="I34" s="304" t="str">
        <x:v>어깨가 뒤로 감기며 팔 길이가 더 길어지는 듯 보인다. 다음 동작과 연결되는 회전축을 일정하게 유지한다.</x:v>
      </x:c>
      <x:c r="J34" s="304" t="str">
        <x:v>효과음 ‘지잉—’의 시작만 작게. 텍스트 없음.</x:v>
      </x:c>
      <x:c r="K34" s="304" t="str">
        <x:v>장력음 ‘지잉—’ 시작.</x:v>
      </x:c>
      <x:c r="L34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34" s="304" t="str">
        <x:v>1회독에는 ‘예비동작 1 — 어깨’을 먼저 본다. 허수아비가 보스로 전환되고 예비동작과 이중 음성을 노출</x:v>
      </x:c>
      <x:c r="N34" s="304" t="str">
        <x:v>후반 재독에서는 공격 패턴의 첫 예비동작으로 정확히 인식된다. 독자는 인물보다 먼저 다음 동작을 예측할 수 있게 된다.</x:v>
      </x:c>
      <x:c r="O34" s="304" t="str">
        <x:v>독자는 ‘관찰 / 예비동작 / 공포’를 설명이 아니라 황혼의 판단 언어로 체화한다.</x:v>
      </x:c>
      <x:c r="P34" s="304" t="str">
        <x:v>보스 텔레그래프 1: 어깨 감김.</x:v>
      </x:c>
      <x:c r="Q34" s="304" t="str">
        <x:v>GLOBAL-VIS-01 / 예비동작 축 고정. 카메라 방향을 바꾸지 않는다.</x:v>
      </x:c>
      <x:c r="R34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34" s="323" t="str">
        <x:v>LOCKED_v1</x:v>
      </x:c>
    </x:row>
    <x:row r="35" ht="84" customHeight="1">
      <x:c r="A35" s="312" t="str">
        <x:v>196</x:v>
      </x:c>
      <x:c r="B35" s="304" t="str">
        <x:v>I. 공격 예비동작</x:v>
      </x:c>
      <x:c r="C35" s="304" t="str">
        <x:v>예비동작 2 — 허리</x:v>
      </x:c>
      <x:c r="D35" s="314" t="str">
        <x:v>76%</x:v>
      </x:c>
      <x:c r="E35" s="318" t="n">
        <x:v>500</x:v>
      </x:c>
      <x:c r="F35" s="318" t="n">
        <x:v>5</x:v>
      </x:c>
      <x:c r="G35" s="318" t="n">
        <x:v>5</x:v>
      </x:c>
      <x:c r="H35" s="304" t="str">
        <x:v>85mm CU 2/5, 허리 강선이 비틀려 장력을 모으는 방향</x:v>
      </x:c>
      <x:c r="I35" s="304" t="str">
        <x:v>허리가 반대 방향으로 비틀리며 강선이 꼬인다. 카메라 축을 바꾸지 않아 예비동작의 순서를 학습하게 한다.</x:v>
      </x:c>
      <x:c r="J35" s="304" t="str">
        <x:v>같은 ‘지잉—’이 이어지되 새 효과음을 반복 표기하지 않아도 된다.</x:v>
      </x:c>
      <x:c r="K35" s="304" t="str">
        <x:v>같은 음이 반음 올라가며 계속된다.</x:v>
      </x:c>
      <x:c r="L35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35" s="304" t="str">
        <x:v>1회독에는 ‘예비동작 2 — 허리’을 먼저 본다. 허수아비가 보스로 전환되고 예비동작과 이중 음성을 노출</x:v>
      </x:c>
      <x:c r="N35" s="304" t="str">
        <x:v>허리 비틀림이 두 번째 예비동작이며, 어깨만 보고 회피하면 늦는다는 보스 문법이 보인다.</x:v>
      </x:c>
      <x:c r="O35" s="304" t="str">
        <x:v>독자는 ‘관찰 / 예비동작 / 공포’를 설명이 아니라 황혼의 판단 언어로 체화한다.</x:v>
      </x:c>
      <x:c r="P35" s="304" t="str">
        <x:v>보스 텔레그래프 2: 허리 비틀림.</x:v>
      </x:c>
      <x:c r="Q35" s="304" t="str">
        <x:v>GLOBAL-VIS-01 / CUT195와 동일 축.</x:v>
      </x:c>
      <x:c r="R35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35" s="323" t="str">
        <x:v>LOCKED_v1</x:v>
      </x:c>
    </x:row>
    <x:row r="36" ht="84" customHeight="1">
      <x:c r="A36" s="312" t="str">
        <x:v>197</x:v>
      </x:c>
      <x:c r="B36" s="304" t="str">
        <x:v>I. 공격 예비동작</x:v>
      </x:c>
      <x:c r="C36" s="304" t="str">
        <x:v>예비동작 3 — 발</x:v>
      </x:c>
      <x:c r="D36" s="314" t="str">
        <x:v>76%</x:v>
      </x:c>
      <x:c r="E36" s="318" t="n">
        <x:v>500</x:v>
      </x:c>
      <x:c r="F36" s="318" t="n">
        <x:v>5</x:v>
      </x:c>
      <x:c r="G36" s="318" t="n">
        <x:v>5</x:v>
      </x:c>
      <x:c r="H36" s="304" t="str">
        <x:v>100mm INSERT 3/5, 발이 콘크리트를 물고 고정되는 접점</x:v>
      </x:c>
      <x:c r="I36" s="304" t="str">
        <x:v>한 발이 바닥을 찍고 미끄러지지 않도록 갈고리처럼 고정된다. 바닥 먼지가 눌리는 정도만 표현한다.</x:v>
      </x:c>
      <x:c r="J36" s="304" t="str">
        <x:v>텍스트 없음. 장력음은 이전 컷에서 이어진다.</x:v>
      </x:c>
      <x:c r="K36" s="304" t="str">
        <x:v>발 접지의 둔한 ‘툭’이 장력음 아래에 들어간다.</x:v>
      </x:c>
      <x:c r="L36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36" s="304" t="str">
        <x:v>1회독에는 ‘예비동작 3 — 발’을 먼저 본다. 허수아비가 보스로 전환되고 예비동작과 이중 음성을 노출</x:v>
      </x:c>
      <x:c r="N36" s="304" t="str">
        <x:v>발 고정이 공격 취소 불가 지점에 가깝다는 사실이 드러난다.</x:v>
      </x:c>
      <x:c r="O36" s="304" t="str">
        <x:v>독자는 ‘거리 / 보호 / 선택’를 설명이 아니라 황혼의 판단 언어로 체화한다.</x:v>
      </x:c>
      <x:c r="P36" s="304" t="str">
        <x:v>보스 텔레그래프 3: 발 접지 — 방향 고정.</x:v>
      </x:c>
      <x:c r="Q36" s="304" t="str">
        <x:v>GLOBAL-VIS-01 / CUT195와 동일 축. 발 접지 위치 판독.</x:v>
      </x:c>
      <x:c r="R36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36" s="323" t="str">
        <x:v>LOCKED_v1</x:v>
      </x:c>
    </x:row>
    <x:row r="37" ht="84" customHeight="1">
      <x:c r="A37" s="312" t="str">
        <x:v>198</x:v>
      </x:c>
      <x:c r="B37" s="304" t="str">
        <x:v>I. 공격 예비동작</x:v>
      </x:c>
      <x:c r="C37" s="304" t="str">
        <x:v>예비동작 4 — 강선</x:v>
      </x:c>
      <x:c r="D37" s="314" t="str">
        <x:v>76%</x:v>
      </x:c>
      <x:c r="E37" s="318" t="n">
        <x:v>500</x:v>
      </x:c>
      <x:c r="F37" s="318" t="n">
        <x:v>5</x:v>
      </x:c>
      <x:c r="G37" s="318" t="n">
        <x:v>10</x:v>
      </x:c>
      <x:c r="H37" s="304" t="str">
        <x:v>130mm ECU 4/5, 강선 한 다발이 팽팽해지는 장력</x:v>
      </x:c>
      <x:c r="I37" s="304" t="str">
        <x:v>어깨부터 손끝까지 강선이 팽팽해지고, 엠버가 흐르는 방향이 한 줄로 정렬된다. 공격이 준비됐음을 명확히 한다.</x:v>
      </x:c>
      <x:c r="J37" s="304" t="str">
        <x:v>‘지잉—’을 가장 팽팽한 강선 옆에서 끝낸다.</x:v>
      </x:c>
      <x:c r="K37" s="304" t="str">
        <x:v>강선 장력음이 가장 높아진 뒤 정지 직전까지 유지.</x:v>
      </x:c>
      <x:c r="L37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37" s="304" t="str">
        <x:v>1회독에는 ‘예비동작 4 — 강선’을 먼저 본다. 허수아비가 보스로 전환되고 예비동작과 이중 음성을 노출</x:v>
      </x:c>
      <x:c r="N37" s="304" t="str">
        <x:v>강선 장력이 힘 전달 경로를 미리 보여 준다는 점이 결절 도해와 연결된다.</x:v>
      </x:c>
      <x:c r="O37" s="304" t="str">
        <x:v>독자는 ‘관찰 / 예비동작 / 공포’를 설명이 아니라 황혼의 판단 언어로 체화한다.</x:v>
      </x:c>
      <x:c r="P37" s="304" t="str">
        <x:v>보스 텔레그래프 4: 강선 장력 — 위력 확정.</x:v>
      </x:c>
      <x:c r="Q37" s="304" t="str">
        <x:v>GLOBAL-VIS-01 / CUT195와 동일 축. 강선 장력 방향 판독.</x:v>
      </x:c>
      <x:c r="R37" s="304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37" s="323" t="str">
        <x:v>LOCKED_v1</x:v>
      </x:c>
    </x:row>
    <x:row r="38" ht="84" customHeight="1">
      <x:c r="A38" s="325" t="str">
        <x:v>199</x:v>
      </x:c>
      <x:c r="B38" s="326" t="str">
        <x:v>I. 공격 예비동작</x:v>
      </x:c>
      <x:c r="C38" s="326" t="str">
        <x:v>예비동작 5 — 들숨</x:v>
      </x:c>
      <x:c r="D38" s="327" t="str">
        <x:v>54%</x:v>
      </x:c>
      <x:c r="E38" s="328" t="n">
        <x:v>1200</x:v>
      </x:c>
      <x:c r="F38" s="328" t="n">
        <x:v>10</x:v>
      </x:c>
      <x:c r="G38" s="328" t="n">
        <x:v>140</x:v>
      </x:c>
      <x:c r="H38" s="326" t="str">
        <x:v>110mm ECU 5/5, 입 없는 흉곽이 한 번 안쪽으로 수축하는 들숨 신호</x:v>
      </x:c>
      <x:c r="I38" s="326" t="str">
        <x:v>입 없는 흉곽 강선이 안쪽으로 한 번 수축한다. 소설의 ‘숨이 들어갔다’를 독립 예비동작으로 배치해 자세 고정과 힘 발현 사이의 반 박자를 완성한다.</x:v>
      </x:c>
      <x:c r="J38" s="326" t="str">
        <x:v>소설 원문의 짧은 나레이션 「숨이 들어갔다.」를 컷 하단의 빈 어둠에 한 줄. 아주 작은 들숨 ‘스으—’는 선택적으로 겹친다.</x:v>
      </x:c>
      <x:c r="K38" s="326" t="str">
        <x:v>모든 장력음이 한순간 얇아지고 ‘스으—’ 같은 들숨 한 번. 다음 컷 전 무음 반 박자.</x:v>
      </x:c>
      <x:c r="L38" s="326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38" s="326" t="str">
        <x:v>큰 공격 직전 마지막으로 ‘숨이 들어가는’ 반 박자를 본다.</x:v>
      </x:c>
      <x:c r="N38" s="326" t="str">
        <x:v>원본의 누락이 아니라 소설에 있던 ‘숨이 들어갔다’를 복원한 마지막 예비동작이다. 자세는 고정됐지만 힘은 아직 나오지 않는 반 박자가 보스 공략 창으로 재해석된다.</x:v>
      </x:c>
      <x:c r="O38" s="326" t="str">
        <x:v>독자는 ‘관찰 / 예비동작 / 공포’를 설명이 아니라 황혼의 판단 언어로 체화한다.</x:v>
      </x:c>
      <x:c r="P38" s="326" t="str">
        <x:v>보스 텔레그래프 5: 들숨 — 패리·회피·진입의 최종 반 박자 창.</x:v>
      </x:c>
      <x:c r="Q38" s="326" t="str">
        <x:v>GLOBAL-VIS-01 / EDITORIAL_CANON_SPLIT. 소설의 ‘숨이 들어갔다’만 사용. 입·얼굴을 새로 만들지 않는다. 공격 전 반 박자 필수.</x:v>
      </x:c>
      <x:c r="R38" s="326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38" s="329" t="str">
        <x:v>LOCKED_v1</x:v>
      </x:c>
    </x:row>
    <x:row r="39" ht="84" customHeight="1">
      <x:c r="A39" s="313" t="str">
        <x:v>200</x:v>
      </x:c>
      <x:c r="B39" s="307" t="str">
        <x:v>J. 먼저 나선 사람</x:v>
      </x:c>
      <x:c r="C39" s="307" t="str">
        <x:v>먼저 나선 사람</x:v>
      </x:c>
      <x:c r="D39" s="315" t="str">
        <x:v>88%</x:v>
      </x:c>
      <x:c r="E39" s="319" t="n">
        <x:v>1000</x:v>
      </x:c>
      <x:c r="F39" s="319" t="n">
        <x:v>50</x:v>
      </x:c>
      <x:c r="G39" s="319" t="n">
        <x:v>120</x:v>
      </x:c>
      <x:c r="H39" s="307" t="str">
        <x:v>28mm WIDE, 카인보다 반 박자 먼저 앞으로 나서는 아인의 전신과 발</x:v>
      </x:c>
      <x:c r="I39" s="307" t="str">
        <x:v>아인은 카인의 옆을 지나지 않고 그의 앞쪽 선으로 한 걸음 나온다. 두 사람 발의 순서를 보여주며 선제 선택을 확정한다.</x:v>
      </x:c>
      <x:c r="J39" s="307" t="str">
        <x:v>텍스트 없음.</x:v>
      </x:c>
      <x:c r="K39" s="307" t="str">
        <x:v>아인의 첫 발 ‘탁’. 카인은 움직이지 않는다.</x:v>
      </x:c>
      <x:c r="L39" s="307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39" s="307" t="str">
        <x:v>1회독에는 ‘먼저 나선 사람’을 먼저 본다. 허수아비가 보스로 전환되고 예비동작과 이중 음성을 노출</x:v>
      </x:c>
      <x:c r="N39" s="307" t="str">
        <x:v>시그니처 상징의 기원</x:v>
      </x:c>
      <x:c r="O39" s="307" t="str">
        <x:v>독자는 ‘관찰 / 예비동작 / 공포’를 설명이 아니라 황혼의 판단 언어로 체화한다.</x:v>
      </x:c>
      <x:c r="P39" s="307" t="str">
        <x:v>예비동작 읽기·보스 페이즈 전환</x:v>
      </x:c>
      <x:c r="Q39" s="307" t="str">
        <x:v>아인 왼쪽 견갑·오른쪽 건틀릿 좌우 고정 / GLOBAL-VIS-01 / 아인이 먼저, 카인은 뒤. 두 사람 발 순서가 읽혀야 한다.</x:v>
      </x:c>
      <x:c r="R39" s="307" t="str">
        <x:v>큰 타격 한 번 뒤 작은 이상 신호를 점층시키고, 보스 공개는 광원 전환으로 완성한다. 속도선보다 무게·예비동작·정지 시간을 읽히게 해 액션 컨트롤 게임의 보스 문법을 선행 학습시킨다.</x:v>
      </x:c>
      <x:c r="S39" s="324" t="str">
        <x:v>LOCKED_v1</x:v>
      </x:c>
    </x:row>
    <x:row r="40" ht="22.5" customHeight="1">
      <x:c r="A40" s="311" t="str">
        <x:v>TOTAL / ESTIMATED SCROLL</x:v>
      </x:c>
      <x:c r="B40" s="311"/>
      <x:c r="C40" s="311"/>
      <x:c r="D40" s="311"/>
      <x:c r="E40" s="320" t="n">
        <x:f>SUM(E5:E39)</x:f>
        <x:v>26260</x:v>
      </x:c>
      <x:c r="F40" s="320" t="n">
        <x:f>SUM(F5:F39)</x:f>
        <x:v>685</x:v>
      </x:c>
      <x:c r="G40" s="320" t="n">
        <x:f>SUM(G5:G39)</x:f>
        <x:v>1670</x:v>
      </x:c>
      <x:c r="H40" s="311" t="str">
        <x:v>예상 총 세로합</x:v>
      </x:c>
      <x:c r="I40" s="311" t="n">
        <x:f>E40+F40+G40</x:f>
        <x:v>28615</x:v>
      </x:c>
      <x:c r="J40" s="311"/>
      <x:c r="K40" s="311"/>
      <x:c r="L40" s="311"/>
      <x:c r="M40" s="311"/>
      <x:c r="N40" s="311"/>
      <x:c r="O40" s="311"/>
      <x:c r="P40" s="311"/>
      <x:c r="Q40" s="311"/>
      <x:c r="R40" s="311"/>
      <x:c r="S40" s="311"/>
    </x:row>
  </x:sheetData>
  <x:mergeCells>
    <x:mergeCell ref="A1:S1"/>
    <x:mergeCell ref="A2:S2"/>
    <x:mergeCell ref="A40:D40"/>
  </x:mergeCells>
  <x:conditionalFormatting sqref="A5:S39">
    <x:cfRule type="expression" dxfId="17" priority="1">
      <x:formula>MOD(ROW(),2)=0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26" hidden="0" customWidth="1"/>
    <x:col min="4" max="4" width="13" hidden="0" customWidth="1"/>
    <x:col min="5" max="5" width="14" hidden="0" customWidth="1"/>
    <x:col min="6" max="6" width="14" hidden="0" customWidth="1"/>
    <x:col min="7" max="7" width="17" hidden="0" customWidth="1"/>
    <x:col min="8" max="8" width="32" hidden="0" customWidth="1"/>
    <x:col min="9" max="9" width="48" hidden="0" customWidth="1"/>
    <x:col min="10" max="10" width="42" hidden="0" customWidth="1"/>
    <x:col min="11" max="11" width="32" hidden="0" customWidth="1"/>
    <x:col min="12" max="12" width="34" hidden="0" customWidth="1"/>
    <x:col min="13" max="13" width="38" hidden="0" customWidth="1"/>
    <x:col min="14" max="14" width="42" hidden="0" customWidth="1"/>
    <x:col min="15" max="15" width="42" hidden="0" customWidth="1"/>
    <x:col min="16" max="16" width="42" hidden="0" customWidth="1"/>
    <x:col min="17" max="17" width="50" hidden="0" customWidth="1"/>
    <x:col min="18" max="18" width="44" hidden="0" customWidth="1"/>
    <x:col min="19" max="19" width="15" hidden="0" customWidth="1"/>
  </x:cols>
  <x:sheetData>
    <x:row r="1" ht="25.5" customHeight="1">
      <x:c r="A1" s="270" t="str">
        <x:v>EP01 CUT201–250 — 실제 연재 구현 v1.0</x:v>
      </x:c>
      <x:c r="B1" s="270"/>
      <x:c r="C1" s="270"/>
      <x:c r="D1" s="270"/>
      <x:c r="E1" s="270"/>
      <x:c r="F1" s="270"/>
      <x:c r="G1" s="270"/>
      <x:c r="H1" s="270"/>
      <x:c r="I1" s="270"/>
      <x:c r="J1" s="270"/>
      <x:c r="K1" s="270"/>
      <x:c r="L1" s="270"/>
      <x:c r="M1" s="270"/>
      <x:c r="N1" s="270"/>
      <x:c r="O1" s="270"/>
      <x:c r="P1" s="270"/>
      <x:c r="Q1" s="270"/>
      <x:c r="R1" s="270"/>
      <x:c r="S1" s="270"/>
    </x:row>
    <x:row r="2" ht="33" customHeight="1">
      <x:c r="A2" s="275" t="str">
        <x:v>거리 실패 → 어깨 타격 → 낫의 반경 → 카인의 고정·반사 → 숨 한 번의 창 → 정답 거리 → 스위트 스폿 → 온전한 결정과 회색 가루 → 승리 뒤의 질문. 원본 50컷 유지.</x:v>
      </x:c>
      <x:c r="B2" s="275"/>
      <x:c r="C2" s="275"/>
      <x:c r="D2" s="275"/>
      <x:c r="E2" s="275"/>
      <x:c r="F2" s="275"/>
      <x:c r="G2" s="275"/>
      <x:c r="H2" s="275"/>
      <x:c r="I2" s="275"/>
      <x:c r="J2" s="275"/>
      <x:c r="K2" s="275"/>
      <x:c r="L2" s="275"/>
      <x:c r="M2" s="275"/>
      <x:c r="N2" s="275"/>
      <x:c r="O2" s="275"/>
      <x:c r="P2" s="275"/>
      <x:c r="Q2" s="275"/>
      <x:c r="R2" s="275"/>
      <x:c r="S2" s="275"/>
    </x:row>
    <x:row r="3" ht="7.5" customHeight="1"/>
    <x:row r="4" ht="36" customHeight="1">
      <x:c r="A4" s="287" t="str">
        <x:v>CUT_ID</x:v>
      </x:c>
      <x:c r="B4" s="288" t="str">
        <x:v>BEAT</x:v>
      </x:c>
      <x:c r="C4" s="288" t="str">
        <x:v>PANEL_ROLE</x:v>
      </x:c>
      <x:c r="D4" s="288" t="str">
        <x:v>WIDTH_CLASS</x:v>
      </x:c>
      <x:c r="E4" s="288" t="str">
        <x:v>SOURCE_HEIGHT_PX</x:v>
      </x:c>
      <x:c r="F4" s="288" t="str">
        <x:v>TOP_GUTTER_PX</x:v>
      </x:c>
      <x:c r="G4" s="288" t="str">
        <x:v>BOTTOM_GUTTER_PX</x:v>
      </x:c>
      <x:c r="H4" s="288" t="str">
        <x:v>CAMERA</x:v>
      </x:c>
      <x:c r="I4" s="288" t="str">
        <x:v>ACTION_COMPOSITION</x:v>
      </x:c>
      <x:c r="J4" s="288" t="str">
        <x:v>TEXT_LAYOUT</x:v>
      </x:c>
      <x:c r="K4" s="288" t="str">
        <x:v>SFX_AUDIO</x:v>
      </x:c>
      <x:c r="L4" s="288" t="str">
        <x:v>COLOR_LIGHT</x:v>
      </x:c>
      <x:c r="M4" s="288" t="str">
        <x:v>FIRST_READ</x:v>
      </x:c>
      <x:c r="N4" s="288" t="str">
        <x:v>THIRD_READ</x:v>
      </x:c>
      <x:c r="O4" s="288" t="str">
        <x:v>FIFTH_READ</x:v>
      </x:c>
      <x:c r="P4" s="288" t="str">
        <x:v>GAME_ECHO</x:v>
      </x:c>
      <x:c r="Q4" s="288" t="str">
        <x:v>PRODUCTION_LOCK</x:v>
      </x:c>
      <x:c r="R4" s="288" t="str">
        <x:v>BENCHMARK_BALANCE</x:v>
      </x:c>
      <x:c r="S4" s="289" t="str">
        <x:v>STATUS</x:v>
      </x:c>
    </x:row>
    <x:row r="5" ht="84" customHeight="1">
      <x:c r="A5" s="312" t="str">
        <x:v>201</x:v>
      </x:c>
      <x:c r="B5" s="304" t="str">
        <x:v>K. 잘못 든 거리</x:v>
      </x:c>
      <x:c r="C5" s="304" t="str">
        <x:v>거리의 기준선</x:v>
      </x:c>
      <x:c r="D5" s="314" t="str">
        <x:v>90%</x:v>
      </x:c>
      <x:c r="E5" s="318" t="n">
        <x:v>1100</x:v>
      </x:c>
      <x:c r="F5" s="318" t="n">
        <x:v>90</x:v>
      </x:c>
      <x:c r="G5" s="318" t="n">
        <x:v>40</x:v>
      </x:c>
      <x:c r="H5" s="304" t="str">
        <x:v>35mm SIDE EYE-LEVEL LOCK, 왼쪽 아인·오른쪽 놈·사이 간격 전부를 수평으로</x:v>
      </x:c>
      <x:c r="I5" s="304" t="str">
        <x:v>아인의 낫 끝과 놈의 몸 사이, 아인의 발뒤꿈치까지 모두 보인다. 이후 CUT203·228에서 픽셀 단위로 비교할 수 있도록 배경 균열과 바닥선도 고정한다.</x:v>
      </x:c>
      <x:c r="J5" s="304" t="str">
        <x:v>텍스트 없음. 기준 구도 위에 거리 수치·선·게이지를 얹지 않는다.</x:v>
      </x:c>
      <x:c r="K5" s="304" t="str">
        <x:v>놈의 저주파와 아인의 호흡을 양 끝에 두고 가운데 거리는 무음.</x:v>
      </x:c>
      <x:c r="L5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5" s="304" t="str">
        <x:v>아인과 놈 사이의 전체 거리를 기준 화면으로 학습한다.</x:v>
      </x:c>
      <x:c r="N5" s="304" t="str">
        <x:v>CUT203·228과 동일 구도를 비교하면, 실패와 성공을 가른 것은 용기나 힘이 아니라 단 한 자루의 거리였음을 발견한다.</x:v>
      </x:c>
      <x:c r="O5" s="304" t="str">
        <x:v>독자는 ‘선택 / 대가 / 침묵’를 설명이 아니라 황혼의 판단 언어로 체화한다.</x:v>
      </x:c>
      <x:c r="P5" s="304" t="str">
        <x:v>아인의 낫 거리 밴드를 환경 선이 아니라 무기 길이와 캐릭터 자세로 학습하는 기준 카메라.</x:v>
      </x:c>
      <x:c r="Q5" s="304" t="str">
        <x:v>지정 컷과 동일 구도 / 아인 왼쪽 견갑·오른쪽 건틀릿 좌우 고정 / GLOBAL-VIS-01 / 기준 구도 잠금. 아인 왼쪽, 놈 오른쪽, 전체 간격·바닥 균열 저장. 거리 UI 금지.</x:v>
      </x:c>
      <x:c r="R5" s="304" t="str">
        <x:v>실패는 화려한 패배가 아니라 거리 오차로 설명한다. 동일 측면 구도와 신체 접촉점을 보존하고, 카인의 방어는 벽이 아니라 반동·고정으로 읽히게 한다.</x:v>
      </x:c>
      <x:c r="S5" s="323" t="str">
        <x:v>LOCKED_v1</x:v>
      </x:c>
    </x:row>
    <x:row r="6" ht="84" customHeight="1">
      <x:c r="A6" s="312" t="str">
        <x:v>202</x:v>
      </x:c>
      <x:c r="B6" s="304" t="str">
        <x:v>K. 잘못 든 거리</x:v>
      </x:c>
      <x:c r="C6" s="304" t="str">
        <x:v>정답처럼 보인 진입</x:v>
      </x:c>
      <x:c r="D6" s="314" t="str">
        <x:v>72%</x:v>
      </x:c>
      <x:c r="E6" s="318" t="n">
        <x:v>900</x:v>
      </x:c>
      <x:c r="F6" s="318" t="n">
        <x:v>20</x:v>
      </x:c>
      <x:c r="G6" s="318" t="n">
        <x:v>50</x:v>
      </x:c>
      <x:c r="H6" s="304" t="str">
        <x:v>50mm MS SIDE, 낫을 낮춘 채 직선으로 파고드는 아인</x:v>
      </x:c>
      <x:c r="I6" s="304" t="str">
        <x:v>아인은 큰 도약이 아니라 지면을 낮게 미끄러지듯 들어간다. 낫 자루는 몸 옆에 두어 아직 회전할 수 있을 것처럼 보인다.</x:v>
      </x:c>
      <x:c r="J6" s="304" t="str">
        <x:v>효과음 ‘타—’를 발 착지 뒤쪽에 짧게.</x:v>
      </x:c>
      <x:c r="K6" s="304" t="str">
        <x:v>발 ‘타—’와 옷·낫 공기 마찰.</x:v>
      </x:c>
      <x:c r="L6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6" s="304" t="str">
        <x:v>1회독에는 ‘정답처럼 보인 진입’을 먼저 본다. 낫은 타이밍만이 아니라 정확한 반경이 필요한 무기임을 실패로 학습</x:v>
      </x:c>
      <x:c r="N6" s="304" t="str">
        <x:v>후속 정보가 생기면 행동·배경의 의미를 재검토</x:v>
      </x:c>
      <x:c r="O6" s="304" t="str">
        <x:v>독자는 ‘선택 / 대가 / 침묵’를 설명이 아니라 황혼의 판단 언어로 체화한다.</x:v>
      </x:c>
      <x:c r="P6" s="304" t="str">
        <x:v>거리 밴드·무기 충돌·실패 피드백</x:v>
      </x:c>
      <x:c r="Q6" s="304" t="str">
        <x:v>아인 왼쪽 견갑·오른쪽 건틀릿 좌우 고정 / GLOBAL-VIS-01</x:v>
      </x:c>
      <x:c r="R6" s="304" t="str">
        <x:v>실패는 화려한 패배가 아니라 거리 오차로 설명한다. 동일 측면 구도와 신체 접촉점을 보존하고, 카인의 방어는 벽이 아니라 반동·고정으로 읽히게 한다.</x:v>
      </x:c>
      <x:c r="S6" s="323" t="str">
        <x:v>LOCKED_v1</x:v>
      </x:c>
    </x:row>
    <x:row r="7" ht="84" customHeight="1">
      <x:c r="A7" s="312" t="str">
        <x:v>203</x:v>
      </x:c>
      <x:c r="B7" s="304" t="str">
        <x:v>K. 잘못 든 거리</x:v>
      </x:c>
      <x:c r="C7" s="304" t="str">
        <x:v>사라진 반경</x:v>
      </x:c>
      <x:c r="D7" s="314" t="str">
        <x:v>90%</x:v>
      </x:c>
      <x:c r="E7" s="318" t="n">
        <x:v>1100</x:v>
      </x:c>
      <x:c r="F7" s="318" t="n">
        <x:v>20</x:v>
      </x:c>
      <x:c r="G7" s="318" t="n">
        <x:v>40</x:v>
      </x:c>
      <x:c r="H7" s="304" t="str">
        <x:v>35mm SIDE EYE-LEVEL LOCK, CUT201과 동일 렌즈·높이·프레임. 달라진 것은 간격뿐</x:v>
      </x:c>
      <x:c r="I7" s="304" t="str">
        <x:v>CUT201과 인물 크기·바닥 균열·카메라 높이를 동일하게 맞춘다. 아인이 놈 품 안까지 들어가 낫 하나 길이의 빈 공간이 사라진 것만 달라야 한다.</x:v>
      </x:c>
      <x:c r="J7" s="304" t="str">
        <x:v>텍스트 없음. CUT201과 비교를 방해하는 자막 금지.</x:v>
      </x:c>
      <x:c r="K7" s="304" t="str">
        <x:v>호흡이 가까워지고 놈의 저주파가 커진다.</x:v>
      </x:c>
      <x:c r="L7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7" s="304" t="str">
        <x:v>1회독에는 ‘사라진 반경’을 먼저 본다. 낫은 타이밍만이 아니라 정확한 반경이 필요한 무기임을 실패로 학습</x:v>
      </x:c>
      <x:c r="N7" s="304" t="str">
        <x:v>CUT201에서 보였던 빈 간격이 사라진 것만으로 실패가 예고됐음을 재독 때 알아챈다.</x:v>
      </x:c>
      <x:c r="O7" s="304" t="str">
        <x:v>독자는 ‘선택 / 대가 / 침묵’를 설명이 아니라 황혼의 판단 언어로 체화한다.</x:v>
      </x:c>
      <x:c r="P7" s="304" t="str">
        <x:v>동일 카메라에서 안전 밴드 이탈 피드백. 빨간 UI보다 자루 충돌·회전 중단을 사용한다.</x:v>
      </x:c>
      <x:c r="Q7" s="304" t="str">
        <x:v>지정 컷과 동일 구도 / GLOBAL-VIS-01 / CUT201과 렌즈·높이·인물 크기·바닥선 동일. 간격만 바뀐다.</x:v>
      </x:c>
      <x:c r="R7" s="304" t="str">
        <x:v>실패는 화려한 패배가 아니라 거리 오차로 설명한다. 동일 측면 구도와 신체 접촉점을 보존하고, 카인의 방어는 벽이 아니라 반동·고정으로 읽히게 한다.</x:v>
      </x:c>
      <x:c r="S7" s="323" t="str">
        <x:v>LOCKED_v1</x:v>
      </x:c>
    </x:row>
    <x:row r="8" ht="84" customHeight="1">
      <x:c r="A8" s="312" t="str">
        <x:v>204</x:v>
      </x:c>
      <x:c r="B8" s="304" t="str">
        <x:v>K. 잘못 든 거리</x:v>
      </x:c>
      <x:c r="C8" s="304" t="str">
        <x:v>몸에 걸린 자루</x:v>
      </x:c>
      <x:c r="D8" s="314" t="str">
        <x:v>86%</x:v>
      </x:c>
      <x:c r="E8" s="318" t="n">
        <x:v>2400</x:v>
      </x:c>
      <x:c r="F8" s="318" t="n">
        <x:v>30</x:v>
      </x:c>
      <x:c r="G8" s="318" t="n">
        <x:v>30</x:v>
      </x:c>
      <x:c r="H8" s="304" t="str">
        <x:v>120mm ECU, 팔꿈치·옆구리·낫자루가 서로 막는 세 접점을 한 컷에</x:v>
      </x:c>
      <x:c r="I8" s="304" t="str">
        <x:v>낫 자루가 팔꿈치와 옆구리 사이에 끼며, 원을 그릴 공간이 물리적으로 사라진다. 이해를 위해 배경·속도선은 최소화한다.</x:v>
      </x:c>
      <x:c r="J8" s="304" t="str">
        <x:v>나레이션을 접점 사이 두 곳에 나눠 배치한다. 「팔꿈치가 옆구리에 닿았다.」 / 「자루가 돌 자리를 잃었다.」</x:v>
      </x:c>
      <x:c r="K8" s="304" t="str">
        <x:v>낫자루가 옷·건틀릿에 걸리는 마른 마찰. 음악을 끊는다.</x:v>
      </x:c>
      <x:c r="L8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8" s="304" t="str">
        <x:v>너무 가까워 낫자루가 몸에 걸리는 실패 원인을 즉시 이해한다.</x:v>
      </x:c>
      <x:c r="N8" s="304" t="str">
        <x:v>아인의 실패가 능력 부족이 아니라 무기와 몸의 기하학적 충돌이었다는 사실이 선명해진다.</x:v>
      </x:c>
      <x:c r="O8" s="304" t="str">
        <x:v>독자는 ‘거리 / 박자 / 원’를 설명이 아니라 황혼의 판단 언어로 체화한다.</x:v>
      </x:c>
      <x:c r="P8" s="304" t="str">
        <x:v>너무 가까움 상태의 물리적 실패 애니메이션. 무기가 적이 아니라 자기 몸과 충돌한다.</x:v>
      </x:c>
      <x:c r="Q8" s="304" t="str">
        <x:v>필수 정보·좌우·거리 판독성 우선 / 정보 컷; 분위기보다 이해 우선 / GLOBAL-VIS-01 / 팔꿈치·옆구리·자루 접점 판독성 최우선. 속도선 최소.</x:v>
      </x:c>
      <x:c r="R8" s="304" t="str">
        <x:v>실패는 화려한 패배가 아니라 거리 오차로 설명한다. 동일 측면 구도와 신체 접촉점을 보존하고, 카인의 방어는 벽이 아니라 반동·고정으로 읽히게 한다.</x:v>
      </x:c>
      <x:c r="S8" s="323" t="str">
        <x:v>LOCKED_v1</x:v>
      </x:c>
    </x:row>
    <x:row r="9" ht="84" customHeight="1">
      <x:c r="A9" s="312" t="str">
        <x:v>205</x:v>
      </x:c>
      <x:c r="B9" s="304" t="str">
        <x:v>K. 잘못 든 거리</x:v>
      </x:c>
      <x:c r="C9" s="304" t="str">
        <x:v>멈춘 원</x:v>
      </x:c>
      <x:c r="D9" s="314" t="str">
        <x:v>56%</x:v>
      </x:c>
      <x:c r="E9" s="318" t="n">
        <x:v>500</x:v>
      </x:c>
      <x:c r="F9" s="318" t="n">
        <x:v>20</x:v>
      </x:c>
      <x:c r="G9" s="318" t="n">
        <x:v>50</x:v>
      </x:c>
      <x:c r="H9" s="304" t="str">
        <x:v>120mm INSERT, 회전하던 자루가 몸에 걸려 완전히 멎는 순간</x:v>
      </x:c>
      <x:c r="I9" s="304" t="str">
        <x:v>아인의 손목은 회전을 계속하려 하지만 자루가 몸에 막혀 멎는다. ‘힘이 약해서’가 아님을 분명히 한다.</x:v>
      </x:c>
      <x:c r="J9" s="304" t="str">
        <x:v>작은 ‘틱—’의 시작을 멈춘 자루 근처에.</x:v>
      </x:c>
      <x:c r="K9" s="304" t="str">
        <x:v>작은 ‘틱—’ 시작.</x:v>
      </x:c>
      <x:c r="L9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9" s="304" t="str">
        <x:v>1회독에는 ‘멈춘 원’을 먼저 본다. 낫은 타이밍만이 아니라 정확한 반경이 필요한 무기임을 실패로 학습</x:v>
      </x:c>
      <x:c r="N9" s="304" t="str">
        <x:v>후속 정보가 생기면 행동·배경의 의미를 재검토</x:v>
      </x:c>
      <x:c r="O9" s="304" t="str">
        <x:v>독자는 ‘선택 / 대가 / 침묵’를 설명이 아니라 황혼의 판단 언어로 체화한다.</x:v>
      </x:c>
      <x:c r="P9" s="304" t="str">
        <x:v>거리 밴드·무기 충돌·실패 피드백</x:v>
      </x:c>
      <x:c r="Q9" s="304" t="str">
        <x:v>GLOBAL-VIS-01 / 낫이 몸에 걸려 멈춘다. 힘 부족처럼 보이면 안 된다.</x:v>
      </x:c>
      <x:c r="R9" s="304" t="str">
        <x:v>실패는 화려한 패배가 아니라 거리 오차로 설명한다. 동일 측면 구도와 신체 접촉점을 보존하고, 카인의 방어는 벽이 아니라 반동·고정으로 읽히게 한다.</x:v>
      </x:c>
      <x:c r="S9" s="323" t="str">
        <x:v>LOCKED_v1</x:v>
      </x:c>
    </x:row>
    <x:row r="10" ht="84" customHeight="1">
      <x:c r="A10" s="312" t="str">
        <x:v>206</x:v>
      </x:c>
      <x:c r="B10" s="304" t="str">
        <x:v>K. 잘못 든 거리</x:v>
      </x:c>
      <x:c r="C10" s="304" t="str">
        <x:v>튕긴 끝</x:v>
      </x:c>
      <x:c r="D10" s="314" t="str">
        <x:v>56%</x:v>
      </x:c>
      <x:c r="E10" s="318" t="n">
        <x:v>700</x:v>
      </x:c>
      <x:c r="F10" s="318" t="n">
        <x:v>5</x:v>
      </x:c>
      <x:c r="G10" s="318" t="n">
        <x:v>30</x:v>
      </x:c>
      <x:c r="H10" s="304" t="str">
        <x:v>130mm ECU, 끝자락이 표면에 닿고 옆으로 미끄러지는 접촉점</x:v>
      </x:c>
      <x:c r="I10" s="304" t="str">
        <x:v>칼날 끝은 놈 표면에 얕게 닿아 엠버 흔적 하나도 남기지 못하고 튕긴다. 실패 피드백을 작은 ‘틱’으로 낮춘다.</x:v>
      </x:c>
      <x:c r="J10" s="304" t="str">
        <x:v>‘틱—’의 끝을 튕긴 칼날 접점에 연결해 한 소리로 읽히게 한다.</x:v>
      </x:c>
      <x:c r="K10" s="304" t="str">
        <x:v>같은 ‘틱—’이 금속 표면에서 허무하게 끝난다.</x:v>
      </x:c>
      <x:c r="L10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10" s="304" t="str">
        <x:v>1회독에는 ‘튕긴 끝’을 먼저 본다. 낫은 타이밍만이 아니라 정확한 반경이 필요한 무기임을 실패로 학습</x:v>
      </x:c>
      <x:c r="N10" s="304" t="str">
        <x:v>후속 정보가 생기면 행동·배경의 의미를 재검토</x:v>
      </x:c>
      <x:c r="O10" s="304" t="str">
        <x:v>독자는 ‘거리 / 박자 / 원’를 설명이 아니라 황혼의 판단 언어로 체화한다.</x:v>
      </x:c>
      <x:c r="P10" s="304" t="str">
        <x:v>거리 밴드·무기 충돌·실패 피드백</x:v>
      </x:c>
      <x:c r="Q10" s="304" t="str">
        <x:v>GLOBAL-VIS-01 / 칼날은 표면에서 튕기고 손상·결정 드롭 없음.</x:v>
      </x:c>
      <x:c r="R10" s="304" t="str">
        <x:v>실패는 화려한 패배가 아니라 거리 오차로 설명한다. 동일 측면 구도와 신체 접촉점을 보존하고, 카인의 방어는 벽이 아니라 반동·고정으로 읽히게 한다.</x:v>
      </x:c>
      <x:c r="S10" s="323" t="str">
        <x:v>LOCKED_v1</x:v>
      </x:c>
    </x:row>
    <x:row r="11" ht="84" customHeight="1">
      <x:c r="A11" s="312" t="str">
        <x:v>207</x:v>
      </x:c>
      <x:c r="B11" s="304" t="str">
        <x:v>L. 실패의 대가</x:v>
      </x:c>
      <x:c r="C11" s="304" t="str">
        <x:v>되돌아오는 팔꿈치</x:v>
      </x:c>
      <x:c r="D11" s="314" t="str">
        <x:v>96% BLEED</x:v>
      </x:c>
      <x:c r="E11" s="318" t="n">
        <x:v>900</x:v>
      </x:c>
      <x:c r="F11" s="318" t="n">
        <x:v>20</x:v>
      </x:c>
      <x:c r="G11" s="318" t="n">
        <x:v>50</x:v>
      </x:c>
      <x:c r="H11" s="304" t="str">
        <x:v>35mm VERTICAL ACTION 1/3, 놈의 팔꿈치가 시야 밖에서 되돌아오는 시작</x:v>
      </x:c>
      <x:c r="I11" s="304" t="str">
        <x:v>놈의 팔꿈치가 보이지 않는 사각에서 되돌아오며 아인의 시야를 침범한다. 아직 접촉은 일어나지 않는다.</x:v>
      </x:c>
      <x:c r="J11" s="304" t="str">
        <x:v>텍스트 없음. 충격음은 아직 나오지 않는다.</x:v>
      </x:c>
      <x:c r="K11" s="304" t="str">
        <x:v>놈의 팔이 공기를 가르는 낮은 바람. 충격음 아직 없음.</x:v>
      </x:c>
      <x:c r="L11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11" s="304" t="str">
        <x:v>1회독에는 ‘되돌아오는 팔꿈치’을 먼저 본다. 낫은 타이밍만이 아니라 정확한 반경이 필요한 무기임을 실패로 학습</x:v>
      </x:c>
      <x:c r="N11" s="304" t="str">
        <x:v>시그니처 상징의 기원</x:v>
      </x:c>
      <x:c r="O11" s="304" t="str">
        <x:v>독자는 ‘선택 / 대가 / 침묵’를 설명이 아니라 황혼의 판단 언어로 체화한다.</x:v>
      </x:c>
      <x:c r="P11" s="304" t="str">
        <x:v>거리 밴드·무기 충돌·실패 피드백</x:v>
      </x:c>
      <x:c r="Q11" s="304" t="str">
        <x:v>아인 왼쪽 견갑·오른쪽 건틀릿 좌우 고정 / GLOBAL-VIS-01</x:v>
      </x:c>
      <x:c r="R11" s="304" t="str">
        <x:v>실패는 화려한 패배가 아니라 거리 오차로 설명한다. 동일 측면 구도와 신체 접촉점을 보존하고, 카인의 방어는 벽이 아니라 반동·고정으로 읽히게 한다.</x:v>
      </x:c>
      <x:c r="S11" s="323" t="str">
        <x:v>LOCKED_v1</x:v>
      </x:c>
    </x:row>
    <x:row r="12" ht="84" customHeight="1">
      <x:c r="A12" s="312" t="str">
        <x:v>208</x:v>
      </x:c>
      <x:c r="B12" s="304" t="str">
        <x:v>L. 실패의 대가</x:v>
      </x:c>
      <x:c r="C12" s="304" t="str">
        <x:v>어깨에 박힌 실패</x:v>
      </x:c>
      <x:c r="D12" s="314" t="str">
        <x:v>100% BLEED</x:v>
      </x:c>
      <x:c r="E12" s="318" t="n">
        <x:v>1400</x:v>
      </x:c>
      <x:c r="F12" s="318" t="n">
        <x:v>20</x:v>
      </x:c>
      <x:c r="G12" s="318" t="n">
        <x:v>50</x:v>
      </x:c>
      <x:c r="H12" s="304" t="str">
        <x:v>24mm VERTICAL IMPACT 2/3, 아인의 어깨 접촉과 몸이 들리는 순간</x:v>
      </x:c>
      <x:c r="I12" s="304" t="str">
        <x:v>팔꿈치가 아인의 오른쪽이 아니라 명시된 어깨 축에 정확히 박힌다. 충격 순간 몸의 선이 꺾이고 낫이 손에서 벗어나지 않게 한다.</x:v>
      </x:c>
      <x:c r="J12" s="304" t="str">
        <x:v>‘쿵!’을 어깨 접촉점에 한 번만 크게.</x:v>
      </x:c>
      <x:c r="K12" s="304" t="str">
        <x:v>어깨 접촉 ‘쿵!’과 짧은 호흡 파열.</x:v>
      </x:c>
      <x:c r="L12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12" s="304" t="str">
        <x:v>1회독에는 ‘어깨에 박힌 실패’을 먼저 본다. 낫은 타이밍만이 아니라 정확한 반경이 필요한 무기임을 실패로 학습</x:v>
      </x:c>
      <x:c r="N12" s="304" t="str">
        <x:v>시그니처 상징의 기원</x:v>
      </x:c>
      <x:c r="O12" s="304" t="str">
        <x:v>독자는 ‘선택 / 대가 / 침묵’를 설명이 아니라 황혼의 판단 언어로 체화한다.</x:v>
      </x:c>
      <x:c r="P12" s="304" t="str">
        <x:v>거리 밴드·무기 충돌·실패 피드백</x:v>
      </x:c>
      <x:c r="Q12" s="304" t="str">
        <x:v>아인 왼쪽 견갑·오른쪽 건틀릿 좌우 고정 / GLOBAL-VIS-01 / 아인의 손상 연속성: 어깨 타격과 갈비뼈 통증이 CUT273~274까지 남는다.</x:v>
      </x:c>
      <x:c r="R12" s="304" t="str">
        <x:v>실패는 화려한 패배가 아니라 거리 오차로 설명한다. 동일 측면 구도와 신체 접촉점을 보존하고, 카인의 방어는 벽이 아니라 반동·고정으로 읽히게 한다.</x:v>
      </x:c>
      <x:c r="S12" s="323" t="str">
        <x:v>LOCKED_v1</x:v>
      </x:c>
    </x:row>
    <x:row r="13" ht="84" customHeight="1">
      <x:c r="A13" s="312" t="str">
        <x:v>209</x:v>
      </x:c>
      <x:c r="B13" s="304" t="str">
        <x:v>L. 실패의 대가</x:v>
      </x:c>
      <x:c r="C13" s="304" t="str">
        <x:v>두 바퀴의 대가</x:v>
      </x:c>
      <x:c r="D13" s="314" t="str">
        <x:v>96% BLEED</x:v>
      </x:c>
      <x:c r="E13" s="318" t="n">
        <x:v>1500</x:v>
      </x:c>
      <x:c r="F13" s="318" t="n">
        <x:v>10</x:v>
      </x:c>
      <x:c r="G13" s="318" t="n">
        <x:v>100</x:v>
      </x:c>
      <x:c r="H13" s="304" t="str">
        <x:v>28mm VERTICAL FOLLOW 3/3, 매트 위 두 번의 구름을 위아래 연속으로</x:v>
      </x:c>
      <x:c r="I13" s="304" t="str">
        <x:v>첫 구름과 두 번째 구름 사이 매트 자국을 구분한다. 아인의 갈비뼈·어깨 손상이 이후 컷에 이어질 방향을 고정한다.</x:v>
      </x:c>
      <x:c r="J13" s="304" t="str">
        <x:v>굴림 소리는 시각 동작으로 처리하고 새 큰 SFX는 추가하지 않는다.</x:v>
      </x:c>
      <x:c r="K13" s="304" t="str">
        <x:v>매트 마찰 두 번, 마지막에 낫자루가 바닥을 스치는 소리.</x:v>
      </x:c>
      <x:c r="L13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13" s="304" t="str">
        <x:v>1회독에는 ‘두 바퀴의 대가’을 먼저 본다. 낫은 타이밍만이 아니라 정확한 반경이 필요한 무기임을 실패로 학습</x:v>
      </x:c>
      <x:c r="N13" s="304" t="str">
        <x:v>시그니처 상징의 기원</x:v>
      </x:c>
      <x:c r="O13" s="304" t="str">
        <x:v>독자는 ‘선택 / 대가 / 침묵’를 설명이 아니라 황혼의 판단 언어로 체화한다.</x:v>
      </x:c>
      <x:c r="P13" s="304" t="str">
        <x:v>거리 밴드·무기 충돌·실패 피드백</x:v>
      </x:c>
      <x:c r="Q13" s="304" t="str">
        <x:v>아인 왼쪽 견갑·오른쪽 건틀릿 좌우 고정 / GLOBAL-VIS-01 / 낫은 놓치지 않는다. 두 바퀴 구름 횟수 고정.</x:v>
      </x:c>
      <x:c r="R13" s="304" t="str">
        <x:v>실패는 화려한 패배가 아니라 거리 오차로 설명한다. 동일 측면 구도와 신체 접촉점을 보존하고, 카인의 방어는 벽이 아니라 반동·고정으로 읽히게 한다.</x:v>
      </x:c>
      <x:c r="S13" s="323" t="str">
        <x:v>LOCKED_v1</x:v>
      </x:c>
    </x:row>
    <x:row r="14" ht="84" customHeight="1">
      <x:c r="A14" s="312" t="str">
        <x:v>210</x:v>
      </x:c>
      <x:c r="B14" s="304" t="str">
        <x:v>L. 실패의 대가</x:v>
      </x:c>
      <x:c r="C14" s="304" t="str">
        <x:v>일어서는 손</x:v>
      </x:c>
      <x:c r="D14" s="314" t="str">
        <x:v>72%</x:v>
      </x:c>
      <x:c r="E14" s="318" t="n">
        <x:v>700</x:v>
      </x:c>
      <x:c r="F14" s="318" t="n">
        <x:v>20</x:v>
      </x:c>
      <x:c r="G14" s="318" t="n">
        <x:v>50</x:v>
      </x:c>
      <x:c r="H14" s="304" t="str">
        <x:v>65mm MS, 한 손으로 바닥을 짚고 상체를 세우는 아인</x:v>
      </x:c>
      <x:c r="I14" s="304" t="str">
        <x:v>아인은 다친 어깨 대신 반대 손으로 바닥을 짚는다. 호흡이 끊겼지만 즉시 진단을 시작한다.</x:v>
      </x:c>
      <x:c r="J14" s="304" t="str">
        <x:v>텍스트 없음. 숨 고르는 소리만.</x:v>
      </x:c>
      <x:c r="K14" s="304" t="str">
        <x:v>손바닥 접지와 끊긴 들숨.</x:v>
      </x:c>
      <x:c r="L14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14" s="304" t="str">
        <x:v>1회독에는 ‘일어서는 손’을 먼저 본다. 낫은 타이밍만이 아니라 정확한 반경이 필요한 무기임을 실패로 학습</x:v>
      </x:c>
      <x:c r="N14" s="304" t="str">
        <x:v>후속 정보가 생기면 행동·배경의 의미를 재검토</x:v>
      </x:c>
      <x:c r="O14" s="304" t="str">
        <x:v>독자는 ‘손 / 놓침 / 책임’를 설명이 아니라 황혼의 판단 언어로 체화한다.</x:v>
      </x:c>
      <x:c r="P14" s="304" t="str">
        <x:v>거리 밴드·무기 충돌·실패 피드백</x:v>
      </x:c>
      <x:c r="Q14" s="304" t="str">
        <x:v>아인 왼쪽 견갑·오른쪽 건틀릿 좌우 고정 / GLOBAL-VIS-01</x:v>
      </x:c>
      <x:c r="R14" s="304" t="str">
        <x:v>실패는 화려한 패배가 아니라 거리 오차로 설명한다. 동일 측면 구도와 신체 접촉점을 보존하고, 카인의 방어는 벽이 아니라 반동·고정으로 읽히게 한다.</x:v>
      </x:c>
      <x:c r="S14" s="323" t="str">
        <x:v>LOCKED_v1</x:v>
      </x:c>
    </x:row>
    <x:row r="15" ht="84" customHeight="1">
      <x:c r="A15" s="312" t="str">
        <x:v>211</x:v>
      </x:c>
      <x:c r="B15" s="304" t="str">
        <x:v>L. 실패의 대가</x:v>
      </x:c>
      <x:c r="C15" s="304" t="str">
        <x:v>오차를 말하다</x:v>
      </x:c>
      <x:c r="D15" s="314" t="str">
        <x:v>72%</x:v>
      </x:c>
      <x:c r="E15" s="318" t="n">
        <x:v>500</x:v>
      </x:c>
      <x:c r="F15" s="318" t="n">
        <x:v>20</x:v>
      </x:c>
      <x:c r="G15" s="318" t="n">
        <x:v>50</x:v>
      </x:c>
      <x:c r="H15" s="304" t="str">
        <x:v>100mm CU, 이를 악문 입과 짧은 진단</x:v>
      </x:c>
      <x:c r="I15" s="304" t="str">
        <x:v>이를 악문 얼굴에서 대사는 짧게 한 줄만. 자신을 책망하거나 공포를 말하지 않고 ‘거리’라는 오차만 이름 붙인다.</x:v>
      </x:c>
      <x:c r="J15" s="304" t="str">
        <x:v>짧은 말풍선 하나. 「…거리. 너무 붙었어.」</x:v>
      </x:c>
      <x:c r="K15" s="304" t="str">
        <x:v>아인의 대사만 가까이. 환경음은 낮춘다.</x:v>
      </x:c>
      <x:c r="L15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15" s="304" t="str">
        <x:v>1회독에는 ‘오차를 말하다’을 먼저 본다. 낫은 타이밍만이 아니라 정확한 반경이 필요한 무기임을 실패로 학습</x:v>
      </x:c>
      <x:c r="N15" s="304" t="str">
        <x:v>후속 정보가 생기면 행동·배경의 의미를 재검토</x:v>
      </x:c>
      <x:c r="O15" s="304" t="str">
        <x:v>독자는 ‘선택 / 대가 / 침묵’를 설명이 아니라 황혼의 판단 언어로 체화한다.</x:v>
      </x:c>
      <x:c r="P15" s="304" t="str">
        <x:v>거리 밴드·무기 충돌·실패 피드백</x:v>
      </x:c>
      <x:c r="Q15" s="304" t="str">
        <x:v>아인 왼쪽 견갑·오른쪽 건틀릿 좌우 고정 / GLOBAL-VIS-01</x:v>
      </x:c>
      <x:c r="R15" s="304" t="str">
        <x:v>실패는 화려한 패배가 아니라 거리 오차로 설명한다. 동일 측면 구도와 신체 접촉점을 보존하고, 카인의 방어는 벽이 아니라 반동·고정으로 읽히게 한다.</x:v>
      </x:c>
      <x:c r="S15" s="323" t="str">
        <x:v>LOCKED_v1</x:v>
      </x:c>
    </x:row>
    <x:row r="16" ht="84" customHeight="1">
      <x:c r="A16" s="312" t="str">
        <x:v>212</x:v>
      </x:c>
      <x:c r="B16" s="304" t="str">
        <x:v>L. 실패의 대가</x:v>
      </x:c>
      <x:c r="C16" s="304" t="str">
        <x:v>낫의 저주</x:v>
      </x:c>
      <x:c r="D16" s="314" t="str">
        <x:v>84% 도해</x:v>
      </x:c>
      <x:c r="E16" s="318" t="n">
        <x:v>2600</x:v>
      </x:c>
      <x:c r="F16" s="318" t="n">
        <x:v>40</x:v>
      </x:c>
      <x:c r="G16" s="318" t="n">
        <x:v>120</x:v>
      </x:c>
      <x:c r="H16" s="304" t="str">
        <x:v>정면 ORTHOGRAPHIC DIAGRAM, 사람·낫·원·너무 가까운 영역·너무 먼 영역을 겹치지 않게</x:v>
      </x:c>
      <x:c r="I16" s="304" t="str">
        <x:v>중심 원의 바깥 가장자리를 스위트 스폿 띠로 표시하되 색상 게이지·퍼센트·버튼 아이콘은 넣지 않는다. 너무 가까운 영역은 자루가 몸에 걸리는 실루엣으로 설명한다.</x:v>
      </x:c>
      <x:c r="J16" s="304" t="str">
        <x:v>도해 바깥에 나레이션을 위→아래로 분할한다. 「낫은 원이다.」를 첫 줄로, 나머지는 원 내부를 가리지 않는 좌우 여백에 둔다.</x:v>
      </x:c>
      <x:c r="K16" s="304" t="str">
        <x:v>음악 없이 설명 나레이션. 원의 안·밖을 가리킬 때 낮은 바람 소리만 선택적으로 사용.</x:v>
      </x:c>
      <x:c r="L16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16" s="304" t="str">
        <x:v>낫은 원이며 너무 가깝거나 멀면 기능하지 않는다는 핵심 규칙을 배운다.</x:v>
      </x:c>
      <x:c r="N16" s="304" t="str">
        <x:v>웹툰의 도해가 게임의 거리 밴드와 완전히 같은 규칙을 공유했음을 확인한다.</x:v>
      </x:c>
      <x:c r="O16" s="304" t="str">
        <x:v>독자는 ‘거리 / 박자 / 원’를 설명이 아니라 황혼의 판단 언어로 체화한다.</x:v>
      </x:c>
      <x:c r="P16" s="304" t="str">
        <x:v>튜토리얼 도해는 메뉴 오버레이가 아니라 실패 직후의 시각 설명 컷으로 사용한다.</x:v>
      </x:c>
      <x:c r="Q16" s="304" t="str">
        <x:v>필수 정보·좌우·거리 판독성 우선 / 정보 컷; 분위기보다 이해 우선 / GLOBAL-VIS-01 / 정보 컷. 게임 HUD·버튼·수치 게이지 금지. 원·너무 가까움·너무 멂은 물리 실루엣으로.</x:v>
      </x:c>
      <x:c r="R16" s="304" t="str">
        <x:v>실패는 화려한 패배가 아니라 거리 오차로 설명한다. 동일 측면 구도와 신체 접촉점을 보존하고, 카인의 방어는 벽이 아니라 반동·고정으로 읽히게 한다.</x:v>
      </x:c>
      <x:c r="S16" s="323" t="str">
        <x:v>LOCKED_v1</x:v>
      </x:c>
    </x:row>
    <x:row r="17" ht="84" customHeight="1">
      <x:c r="A17" s="312" t="str">
        <x:v>213</x:v>
      </x:c>
      <x:c r="B17" s="304" t="str">
        <x:v>L. 실패의 대가</x:v>
      </x:c>
      <x:c r="C17" s="304" t="str">
        <x:v>처음 벗어난 띠</x:v>
      </x:c>
      <x:c r="D17" s="314" t="str">
        <x:v>72%</x:v>
      </x:c>
      <x:c r="E17" s="318" t="n">
        <x:v>900</x:v>
      </x:c>
      <x:c r="F17" s="318" t="n">
        <x:v>20</x:v>
      </x:c>
      <x:c r="G17" s="318" t="n">
        <x:v>40</x:v>
      </x:c>
      <x:c r="H17" s="304" t="str">
        <x:v>55mm MS SIDE, 아인이 갈비뼈 통증을 숨긴 채 호흡을 다시 맞추는 장면</x:v>
      </x:c>
      <x:c r="I17" s="304" t="str">
        <x:v>아인은 한 손으로 갈비뼈를 누르지 않고 호흡과 그립을 다시 맞춘다. ‘2년’ 나레이션은 과거 몽타주 없이 현재 몸에 얹는다.</x:v>
      </x:c>
      <x:c r="J17" s="304" t="str">
        <x:v>나레이션을 인물 위 빈 배경에 두 문단으로: 「2년 동안 그녀는 그 좁은 띠 안에서만 싸웠다. / 그리고 오늘, 처음으로 그 띠를 벗어났다.」</x:v>
      </x:c>
      <x:c r="K17" s="304" t="str">
        <x:v>불규칙했던 호흡이 한 번 정돈된다.</x:v>
      </x:c>
      <x:c r="L17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17" s="304" t="str">
        <x:v>1회독에는 ‘처음 벗어난 띠’을 먼저 본다. 낫은 타이밍만이 아니라 정확한 반경이 필요한 무기임을 실패로 학습</x:v>
      </x:c>
      <x:c r="N17" s="304" t="str">
        <x:v>후속 정보가 생기면 행동·배경의 의미를 재검토</x:v>
      </x:c>
      <x:c r="O17" s="304" t="str">
        <x:v>독자는 ‘선택 / 대가 / 침묵’를 설명이 아니라 황혼의 판단 언어로 체화한다.</x:v>
      </x:c>
      <x:c r="P17" s="304" t="str">
        <x:v>거리 밴드·무기 충돌·실패 피드백</x:v>
      </x:c>
      <x:c r="Q17" s="304" t="str">
        <x:v>아인 왼쪽 견갑·오른쪽 건틀릿 좌우 고정 / GLOBAL-VIS-01</x:v>
      </x:c>
      <x:c r="R17" s="304" t="str">
        <x:v>실패는 화려한 패배가 아니라 거리 오차로 설명한다. 동일 측면 구도와 신체 접촉점을 보존하고, 카인의 방어는 벽이 아니라 반동·고정으로 읽히게 한다.</x:v>
      </x:c>
      <x:c r="S17" s="323" t="str">
        <x:v>LOCKED_v1</x:v>
      </x:c>
    </x:row>
    <x:row r="18" ht="84" customHeight="1">
      <x:c r="A18" s="312" t="str">
        <x:v>214</x:v>
      </x:c>
      <x:c r="B18" s="304" t="str">
        <x:v>L. 실패의 대가</x:v>
      </x:c>
      <x:c r="C18" s="304" t="str">
        <x:v>풀리는 회전</x:v>
      </x:c>
      <x:c r="D18" s="314" t="str">
        <x:v>96%</x:v>
      </x:c>
      <x:c r="E18" s="318" t="n">
        <x:v>1000</x:v>
      </x:c>
      <x:c r="F18" s="318" t="n">
        <x:v>20</x:v>
      </x:c>
      <x:c r="G18" s="318" t="n">
        <x:v>50</x:v>
      </x:c>
      <x:c r="H18" s="304" t="str">
        <x:v>24mm VERTICAL, 놈의 양팔 회전이 완전한 원으로 풀리는 동작</x:v>
      </x:c>
      <x:c r="I18" s="304" t="str">
        <x:v>놈의 팔이 본격적으로 회전해 훈련장 공기를 밀어낸다. 회전 반경이 아인의 낫보다 훨씬 큰 위험 영역으로 보인다.</x:v>
      </x:c>
      <x:c r="J18" s="304" t="str">
        <x:v>‘부우웅—!!’을 회전 궤적 바깥에 원형으로 휘게 배치.</x:v>
      </x:c>
      <x:c r="K18" s="304" t="str">
        <x:v>‘부우웅—!!’이 원형으로 도는 듯 좌우 이동.</x:v>
      </x:c>
      <x:c r="L18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18" s="304" t="str">
        <x:v>1회독에는 ‘풀리는 회전’을 먼저 본다. 낫은 타이밍만이 아니라 정확한 반경이 필요한 무기임을 실패로 학습</x:v>
      </x:c>
      <x:c r="N18" s="304" t="str">
        <x:v>후속 정보가 생기면 행동·배경의 의미를 재검토</x:v>
      </x:c>
      <x:c r="O18" s="304" t="str">
        <x:v>독자는 ‘선택 / 대가 / 침묵’를 설명이 아니라 황혼의 판단 언어로 체화한다.</x:v>
      </x:c>
      <x:c r="P18" s="304" t="str">
        <x:v>거리 밴드·무기 충돌·실패 피드백</x:v>
      </x:c>
      <x:c r="Q18" s="304" t="str">
        <x:v>GLOBAL-VIS-01</x:v>
      </x:c>
      <x:c r="R18" s="304" t="str">
        <x:v>실패는 화려한 패배가 아니라 거리 오차로 설명한다. 동일 측면 구도와 신체 접촉점을 보존하고, 카인의 방어는 벽이 아니라 반동·고정으로 읽히게 한다.</x:v>
      </x:c>
      <x:c r="S18" s="323" t="str">
        <x:v>LOCKED_v1</x:v>
      </x:c>
    </x:row>
    <x:row r="19" ht="84" customHeight="1">
      <x:c r="A19" s="312" t="str">
        <x:v>215</x:v>
      </x:c>
      <x:c r="B19" s="304" t="str">
        <x:v>L. 실패의 대가</x:v>
      </x:c>
      <x:c r="C19" s="304" t="str">
        <x:v>산이 뛰어든다</x:v>
      </x:c>
      <x:c r="D19" s="314" t="str">
        <x:v>94%</x:v>
      </x:c>
      <x:c r="E19" s="318" t="n">
        <x:v>2400</x:v>
      </x:c>
      <x:c r="F19" s="318" t="n">
        <x:v>20</x:v>
      </x:c>
      <x:c r="G19" s="318" t="n">
        <x:v>40</x:v>
      </x:c>
      <x:c r="H19" s="304" t="str">
        <x:v>24mm WIDE LOW, 아인과 놈 사이로 카인의 거대한 실루엣이 뛰어드는 순간</x:v>
      </x:c>
      <x:c r="I19" s="304" t="str">
        <x:v>카인은 대검을 방패처럼 들고 달리는 게 아니라 몸과 검을 한 덩어리로 진입시킨다. ‘비켜!’ 말풍선이 인물보다 먼저 내려오게 한다.</x:v>
      </x:c>
      <x:c r="J19" s="304" t="str">
        <x:v>「비켜!」를 카인 실루엣보다 먼저 화면 상단에서 보이게 한다.</x:v>
      </x:c>
      <x:c r="K19" s="304" t="str">
        <x:v>카인의 무거운 발과 ‘비켜!’가 회전음 위를 가른다.</x:v>
      </x:c>
      <x:c r="L19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19" s="304" t="str">
        <x:v>1회독에는 ‘산이 뛰어든다’을 먼저 본다. 낫은 타이밍만이 아니라 정확한 반경이 필요한 무기임을 실패로 학습</x:v>
      </x:c>
      <x:c r="N19" s="304" t="str">
        <x:v>항상 반보 뒤에 있던 카인이 왜 뒤에 있었는지 설명하지 않으면서도, 그 위치가 ‘앞을 막기 위한 준비 거리’였다고 다시 읽힌다.</x:v>
      </x:c>
      <x:c r="O19" s="304" t="str">
        <x:v>독자는 ‘선택 / 대가 / 침묵’를 설명이 아니라 황혼의 판단 언어로 체화한다.</x:v>
      </x:c>
      <x:c r="P19" s="304" t="str">
        <x:v>거리 밴드·무기 충돌·실패 피드백</x:v>
      </x:c>
      <x:c r="Q19" s="304" t="str">
        <x:v>GLOBAL-VIS-01 / 카인은 아인을 가로막되 이전까지 반보 뒤였다는 공간 변화가 읽혀야 한다.</x:v>
      </x:c>
      <x:c r="R19" s="304" t="str">
        <x:v>실패는 화려한 패배가 아니라 거리 오차로 설명한다. 동일 측면 구도와 신체 접촉점을 보존하고, 카인의 방어는 벽이 아니라 반동·고정으로 읽히게 한다.</x:v>
      </x:c>
      <x:c r="S19" s="323" t="str">
        <x:v>LOCKED_v1</x:v>
      </x:c>
    </x:row>
    <x:row r="20" ht="84" customHeight="1">
      <x:c r="A20" s="312" t="str">
        <x:v>216</x:v>
      </x:c>
      <x:c r="B20" s="304" t="str">
        <x:v>M. 카인의 고정</x:v>
      </x:c>
      <x:c r="C20" s="304" t="str">
        <x:v>앞을 가로막다</x:v>
      </x:c>
      <x:c r="D20" s="314" t="str">
        <x:v>94%</x:v>
      </x:c>
      <x:c r="E20" s="318" t="n">
        <x:v>900</x:v>
      </x:c>
      <x:c r="F20" s="318" t="n">
        <x:v>10</x:v>
      </x:c>
      <x:c r="G20" s="318" t="n">
        <x:v>5</x:v>
      </x:c>
      <x:c r="H20" s="304" t="str">
        <x:v>28mm VERTICAL 1/2, 카인이 아인 앞을 가로막으며 화면을 채우는 등</x:v>
      </x:c>
      <x:c r="I20" s="304" t="str">
        <x:v>카인의 등이 아인 시야를 완전히 가로막는다. 반보 뒤에 있던 사람이 한순간 앞을 점유하는 변화가 크게 읽힌다.</x:v>
      </x:c>
      <x:c r="J20" s="304" t="str">
        <x:v>효과음은 다음 컷과 연결. 텍스트 없음.</x:v>
      </x:c>
      <x:c r="K20" s="304" t="str">
        <x:v>외투와 대검이 공기를 가르는 짧은 소리.</x:v>
      </x:c>
      <x:c r="L20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20" s="304" t="str">
        <x:v>1회독에는 ‘앞을 가로막다’을 먼저 본다. 카인이 힘을 받지 않고 되돌리는 고정·가드 문법을 학습</x:v>
      </x:c>
      <x:c r="N20" s="304" t="str">
        <x:v>시그니처 상징의 기원</x:v>
      </x:c>
      <x:c r="O20" s="304" t="str">
        <x:v>독자는 ‘선택 / 대가 / 침묵’를 설명이 아니라 황혼의 판단 언어로 체화한다.</x:v>
      </x:c>
      <x:c r="P20" s="304" t="str">
        <x:v>퍼펙트 가드·힘 되돌림·고정 창</x:v>
      </x:c>
      <x:c r="Q20" s="304" t="str">
        <x:v>GLOBAL-VIS-01 / 카인의 등이 아인 앞을 가로막는다.</x:v>
      </x:c>
      <x:c r="R20" s="304" t="str">
        <x:v>실패는 화려한 패배가 아니라 거리 오차로 설명한다. 동일 측면 구도와 신체 접촉점을 보존하고, 카인의 방어는 벽이 아니라 반동·고정으로 읽히게 한다.</x:v>
      </x:c>
      <x:c r="S20" s="323" t="str">
        <x:v>LOCKED_v1</x:v>
      </x:c>
    </x:row>
    <x:row r="21" ht="84" customHeight="1">
      <x:c r="A21" s="312" t="str">
        <x:v>217</x:v>
      </x:c>
      <x:c r="B21" s="304" t="str">
        <x:v>M. 카인의 고정</x:v>
      </x:c>
      <x:c r="C21" s="304" t="str">
        <x:v>땅에 박힌 검</x:v>
      </x:c>
      <x:c r="D21" s="314" t="str">
        <x:v>96%</x:v>
      </x:c>
      <x:c r="E21" s="318" t="n">
        <x:v>1700</x:v>
      </x:c>
      <x:c r="F21" s="318" t="n">
        <x:v>5</x:v>
      </x:c>
      <x:c r="G21" s="318" t="n">
        <x:v>30</x:v>
      </x:c>
      <x:c r="H21" s="304" t="str">
        <x:v>24mm VERTICAL 2/2, 대검 끝이 바닥에 수직으로 박히는 접점</x:v>
      </x:c>
      <x:c r="I21" s="304" t="str">
        <x:v>대검은 비스듬히가 아니라 정확히 수직으로 박혀 두 발과 함께 삼각 지지점을 만든다. 바닥 파편은 무기 무게만큼만 튄다.</x:v>
      </x:c>
      <x:c r="J21" s="304" t="str">
        <x:v>대검 접지점에 ‘쾅!’ 한 번. CUT216에는 반복하지 않는다.</x:v>
      </x:c>
      <x:c r="K21" s="304" t="str">
        <x:v>대검 접지 ‘쾅!’과 바닥 균열 저음.</x:v>
      </x:c>
      <x:c r="L21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21" s="304" t="str">
        <x:v>1회독에는 ‘땅에 박힌 검’을 먼저 본다. 카인이 힘을 받지 않고 되돌리는 고정·가드 문법을 학습</x:v>
      </x:c>
      <x:c r="N21" s="304" t="str">
        <x:v>시그니처 상징의 기원</x:v>
      </x:c>
      <x:c r="O21" s="304" t="str">
        <x:v>독자는 ‘선택 / 대가 / 침묵’를 설명이 아니라 황혼의 판단 언어로 체화한다.</x:v>
      </x:c>
      <x:c r="P21" s="304" t="str">
        <x:v>퍼펙트 가드·힘 되돌림·고정 창</x:v>
      </x:c>
      <x:c r="Q21" s="304" t="str">
        <x:v>GLOBAL-VIS-01 / 대검 수직 접지. 비스듬한 방패 자세 금지.</x:v>
      </x:c>
      <x:c r="R21" s="304" t="str">
        <x:v>실패는 화려한 패배가 아니라 거리 오차로 설명한다. 동일 측면 구도와 신체 접촉점을 보존하고, 카인의 방어는 벽이 아니라 반동·고정으로 읽히게 한다.</x:v>
      </x:c>
      <x:c r="S21" s="323" t="str">
        <x:v>LOCKED_v1</x:v>
      </x:c>
    </x:row>
    <x:row r="22" ht="84" customHeight="1">
      <x:c r="A22" s="312" t="str">
        <x:v>218</x:v>
      </x:c>
      <x:c r="B22" s="304" t="str">
        <x:v>M. 카인의 고정</x:v>
      </x:c>
      <x:c r="C22" s="304" t="str">
        <x:v>조건 1 — 두 발</x:v>
      </x:c>
      <x:c r="D22" s="314" t="str">
        <x:v>80%</x:v>
      </x:c>
      <x:c r="E22" s="318" t="n">
        <x:v>550</x:v>
      </x:c>
      <x:c r="F22" s="318" t="n">
        <x:v>40</x:v>
      </x:c>
      <x:c r="G22" s="318" t="n">
        <x:v>100</x:v>
      </x:c>
      <x:c r="H22" s="304" t="str">
        <x:v>110mm INSERT 1/4, 두 부츠가 지면을 넓게 물고 선다</x:v>
      </x:c>
      <x:c r="I22" s="304" t="str">
        <x:v>두 발 간격은 어깨보다 넓고 무릎은 잠기지 않는다. 단순 힘자랑이 아니라 자세 조건임을 보여준다.</x:v>
      </x:c>
      <x:c r="J22" s="304" t="str">
        <x:v>나레이션 첫 구절 「두 발이 땅에.」를 부츠 위에.</x:v>
      </x:c>
      <x:c r="K22" s="304" t="str">
        <x:v>부츠 두 번이 아니라 한 번의 동시 접지음.</x:v>
      </x:c>
      <x:c r="L22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22" s="304" t="str">
        <x:v>1회독에는 ‘조건 1 — 두 발’을 먼저 본다. 카인이 힘을 받지 않고 되돌리는 고정·가드 문법을 학습</x:v>
      </x:c>
      <x:c r="N22" s="304" t="str">
        <x:v>카인의 고정은 힘 수치가 아니라 두 발·무기·반 호흡의 조건식이었다는 것이 보인다.</x:v>
      </x:c>
      <x:c r="O22" s="304" t="str">
        <x:v>독자는 ‘거리 / 보호 / 선택’를 설명이 아니라 황혼의 판단 언어로 체화한다.</x:v>
      </x:c>
      <x:c r="P22" s="304" t="str">
        <x:v>카인 가드 조건 1: 발 접지.</x:v>
      </x:c>
      <x:c r="Q22" s="304" t="str">
        <x:v>GLOBAL-VIS-01 / 두 발 지면 조건.</x:v>
      </x:c>
      <x:c r="R22" s="304" t="str">
        <x:v>실패는 화려한 패배가 아니라 거리 오차로 설명한다. 동일 측면 구도와 신체 접촉점을 보존하고, 카인의 방어는 벽이 아니라 반동·고정으로 읽히게 한다.</x:v>
      </x:c>
      <x:c r="S22" s="323" t="str">
        <x:v>LOCKED_v1</x:v>
      </x:c>
    </x:row>
    <x:row r="23" ht="84" customHeight="1">
      <x:c r="A23" s="312" t="str">
        <x:v>219</x:v>
      </x:c>
      <x:c r="B23" s="304" t="str">
        <x:v>M. 카인의 고정</x:v>
      </x:c>
      <x:c r="C23" s="304" t="str">
        <x:v>조건 2 — 무기</x:v>
      </x:c>
      <x:c r="D23" s="314" t="str">
        <x:v>80%</x:v>
      </x:c>
      <x:c r="E23" s="318" t="n">
        <x:v>550</x:v>
      </x:c>
      <x:c r="F23" s="318" t="n">
        <x:v>40</x:v>
      </x:c>
      <x:c r="G23" s="318" t="n">
        <x:v>100</x:v>
      </x:c>
      <x:c r="H23" s="304" t="str">
        <x:v>100mm INSERT 2/4, 대검날이 콘크리트에 닿아 세 번째 지점이 된다</x:v>
      </x:c>
      <x:c r="I23" s="304" t="str">
        <x:v>대검날이 바닥을 ‘받침’으로 삼는다. 검 끝이 미끄러지지 않도록 균열에 걸리는 위치를 명확히 한다.</x:v>
      </x:c>
      <x:c r="J23" s="304" t="str">
        <x:v>두 번째 구절 「무기가 땅에.」를 검 접점 옆에.</x:v>
      </x:c>
      <x:c r="K23" s="304" t="str">
        <x:v>금속이 돌에 눌리는 저음.</x:v>
      </x:c>
      <x:c r="L23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23" s="304" t="str">
        <x:v>1회독에는 ‘조건 2 — 무기’을 먼저 본다. 카인이 힘을 받지 않고 되돌리는 고정·가드 문법을 학습</x:v>
      </x:c>
      <x:c r="N23" s="304" t="str">
        <x:v>시그니처 상징의 기원</x:v>
      </x:c>
      <x:c r="O23" s="304" t="str">
        <x:v>독자는 ‘선택 / 대가 / 침묵’를 설명이 아니라 황혼의 판단 언어로 체화한다.</x:v>
      </x:c>
      <x:c r="P23" s="304" t="str">
        <x:v>카인 가드 조건 2: 무기 접지.</x:v>
      </x:c>
      <x:c r="Q23" s="304" t="str">
        <x:v>GLOBAL-VIS-01 / 무기 지면 조건.</x:v>
      </x:c>
      <x:c r="R23" s="304" t="str">
        <x:v>실패는 화려한 패배가 아니라 거리 오차로 설명한다. 동일 측면 구도와 신체 접촉점을 보존하고, 카인의 방어는 벽이 아니라 반동·고정으로 읽히게 한다.</x:v>
      </x:c>
      <x:c r="S23" s="323" t="str">
        <x:v>LOCKED_v1</x:v>
      </x:c>
    </x:row>
    <x:row r="24" ht="84" customHeight="1">
      <x:c r="A24" s="312" t="str">
        <x:v>220</x:v>
      </x:c>
      <x:c r="B24" s="304" t="str">
        <x:v>M. 카인의 고정</x:v>
      </x:c>
      <x:c r="C24" s="304" t="str">
        <x:v>조건 3 — 얇은 출력</x:v>
      </x:c>
      <x:c r="D24" s="314" t="str">
        <x:v>84%</x:v>
      </x:c>
      <x:c r="E24" s="318" t="n">
        <x:v>900</x:v>
      </x:c>
      <x:c r="F24" s="318" t="n">
        <x:v>40</x:v>
      </x:c>
      <x:c r="G24" s="318" t="n">
        <x:v>100</x:v>
      </x:c>
      <x:c r="H24" s="304" t="str">
        <x:v>120mm ECU 3/4, 엠버 출력이 대검 표면에 종잇장처럼 얇게 퍼진다</x:v>
      </x:c>
      <x:c r="I24" s="304" t="str">
        <x:v>코어 출력은 두꺼운 불꽃이 아니라 금속 표면에 붙은 얇은 막으로 흐른다. 가장자리에서만 엠버가 보이게 한다.</x:v>
      </x:c>
      <x:c r="J24" s="304" t="str">
        <x:v>텍스트 없음. 얇은 출력 자체를 먼저 읽힌다.</x:v>
      </x:c>
      <x:c r="K24" s="304" t="str">
        <x:v>엠버 출력은 두꺼운 에너지음이 아니라 얇은 공명음.</x:v>
      </x:c>
      <x:c r="L24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24" s="304" t="str">
        <x:v>1회독에는 ‘조건 3 — 얇은 출력’을 먼저 본다. 카인이 힘을 받지 않고 되돌리는 고정·가드 문법을 학습</x:v>
      </x:c>
      <x:c r="N24" s="304" t="str">
        <x:v>두꺼운 오라가 아니라 얇은 출력막이 힘을 되돌리는 핵심이었음을 후속 가드 장면에서 재확인한다.</x:v>
      </x:c>
      <x:c r="O24" s="304" t="str">
        <x:v>독자는 ‘거리 / 보호 / 선택 / 각인’를 설명이 아니라 황혼의 판단 언어로 체화한다.</x:v>
      </x:c>
      <x:c r="P24" s="304" t="str">
        <x:v>카인 가드 조건 3: 얇은 코어 코팅.</x:v>
      </x:c>
      <x:c r="Q24" s="304" t="str">
        <x:v>GLOBAL-VIS-01 / 출력은 대검 표면에 ‘얇게’. 두꺼운 오라·폭발 금지.</x:v>
      </x:c>
      <x:c r="R24" s="304" t="str">
        <x:v>실패는 화려한 패배가 아니라 거리 오차로 설명한다. 동일 측면 구도와 신체 접촉점을 보존하고, 카인의 방어는 벽이 아니라 반동·고정으로 읽히게 한다.</x:v>
      </x:c>
      <x:c r="S24" s="323" t="str">
        <x:v>LOCKED_v1</x:v>
      </x:c>
    </x:row>
    <x:row r="25" ht="84" customHeight="1">
      <x:c r="A25" s="312" t="str">
        <x:v>221</x:v>
      </x:c>
      <x:c r="B25" s="304" t="str">
        <x:v>M. 카인의 고정</x:v>
      </x:c>
      <x:c r="C25" s="304" t="str">
        <x:v>조건 4 — 반 호흡</x:v>
      </x:c>
      <x:c r="D25" s="314" t="str">
        <x:v>80%</x:v>
      </x:c>
      <x:c r="E25" s="318" t="n">
        <x:v>1000</x:v>
      </x:c>
      <x:c r="F25" s="318" t="n">
        <x:v>40</x:v>
      </x:c>
      <x:c r="G25" s="318" t="n">
        <x:v>100</x:v>
      </x:c>
      <x:c r="H25" s="304" t="str">
        <x:v>100mm CU 4/4, 카인의 턱·가슴·검이 반 호흡 동안 완전히 정지</x:v>
      </x:c>
      <x:c r="I25" s="304" t="str">
        <x:v>충돌 직전 모든 것이 한 반 호흡 멈춘다. 카인의 눈은 감지 않고, 검 표면과 놈 팔의 거리를 한 손가락 폭 남긴다.</x:v>
      </x:c>
      <x:c r="J25" s="304" t="str">
        <x:v>마지막 구절 「그리고 반 호흡.」을 충돌 전 빈 간격에 두고, 읽은 뒤 손가락 한 번 스크롤할 여백을 남긴다.</x:v>
      </x:c>
      <x:c r="K25" s="304" t="str">
        <x:v>반 호흡 동안 모든 소리를 끊고 카인의 들숨만 남긴다.</x:v>
      </x:c>
      <x:c r="L25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25" s="304" t="str">
        <x:v>1회독에는 ‘조건 4 — 반 호흡’을 먼저 본다. 카인이 힘을 받지 않고 되돌리는 고정·가드 문법을 학습</x:v>
      </x:c>
      <x:c r="N25" s="304" t="str">
        <x:v>반 호흡은 연출 여백이 아니라 실제 판정 창이었다는 사실이 게임 플레이와 맞물린다.</x:v>
      </x:c>
      <x:c r="O25" s="304" t="str">
        <x:v>독자는 ‘선택 / 대가 / 침묵’를 설명이 아니라 황혼의 판단 언어로 체화한다.</x:v>
      </x:c>
      <x:c r="P25" s="304" t="str">
        <x:v>카인 가드 조건 4: 반 호흡 입력 창.</x:v>
      </x:c>
      <x:c r="Q25" s="304" t="str">
        <x:v>GLOBAL-VIS-01 / 반 호흡 정지 필수. 너무 빠르게 넘기지 않는다.</x:v>
      </x:c>
      <x:c r="R25" s="304" t="str">
        <x:v>실패는 화려한 패배가 아니라 거리 오차로 설명한다. 동일 측면 구도와 신체 접촉점을 보존하고, 카인의 방어는 벽이 아니라 반동·고정으로 읽히게 한다.</x:v>
      </x:c>
      <x:c r="S25" s="323" t="str">
        <x:v>LOCKED_v1</x:v>
      </x:c>
    </x:row>
    <x:row r="26" ht="84" customHeight="1">
      <x:c r="A26" s="312" t="str">
        <x:v>222</x:v>
      </x:c>
      <x:c r="B26" s="304" t="str">
        <x:v>M. 카인의 고정</x:v>
      </x:c>
      <x:c r="C26" s="304" t="str">
        <x:v>벽이 아니라 반동</x:v>
      </x:c>
      <x:c r="D26" s="314" t="str">
        <x:v>100% BLEED</x:v>
      </x:c>
      <x:c r="E26" s="318" t="n">
        <x:v>3900</x:v>
      </x:c>
      <x:c r="F26" s="318" t="n">
        <x:v>0</x:v>
      </x:c>
      <x:c r="G26" s="318" t="n">
        <x:v>20</x:v>
      </x:c>
      <x:c r="H26" s="304" t="str">
        <x:v>20mm VERTICAL IMPACT BLEED, 놈의 팔과 대검이 정면 충돌하며 얇은 충격파가 좌우로</x:v>
      </x:c>
      <x:c r="I26" s="304" t="str">
        <x:v>접촉점에서 엠버 충격파가 얇게 번져 놈의 힘이 검 안으로 먹히지 않고 바깥으로 튕겨 나간다는 방향을 보여준다. 폭발 구름으로 가리지 않는다.</x:v>
      </x:c>
      <x:c r="J26" s="304" t="str">
        <x:v>‘콰창—!!’은 접촉점에서 좌우로 갈라진다. 충격파의 방향을 따라 글자를 찢되 패널 밖으로 넘치지 않는다.</x:v>
      </x:c>
      <x:c r="K26" s="304" t="str">
        <x:v>‘콰창—!!’과 얇게 튕겨 나가는 금속 공명. 폭발 저음보다 반사 방향이 선명해야 한다.</x:v>
      </x:c>
      <x:c r="L26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26" s="304" t="str">
        <x:v>카인이 힘을 막는 대신 얇은 출력막으로 그대로 되돌리는 장면을 본다.</x:v>
      </x:c>
      <x:c r="N26" s="304" t="str">
        <x:v>시그니처 상징의 기원</x:v>
      </x:c>
      <x:c r="O26" s="304" t="str">
        <x:v>독자는 ‘각인 / 성장 대가 / 수거’를 설명이 아니라 황혼의 판단 언어로 체화한다.</x:v>
      </x:c>
      <x:c r="P26" s="304" t="str">
        <x:v>퍼펙트 가드 성공 시 흡수보다 반사·적 자세 붕괴·파티 공격 창을 보상한다.</x:v>
      </x:c>
      <x:c r="Q26" s="304" t="str">
        <x:v>GLOBAL-VIS-01 / 힘은 검 안으로 먹히지 않고 되돌아간다. 충격파 방향 판독성 우선.</x:v>
      </x:c>
      <x:c r="R26" s="304" t="str">
        <x:v>실패는 화려한 패배가 아니라 거리 오차로 설명한다. 동일 측면 구도와 신체 접촉점을 보존하고, 카인의 방어는 벽이 아니라 반동·고정으로 읽히게 한다.</x:v>
      </x:c>
      <x:c r="S26" s="323" t="str">
        <x:v>LOCKED_v1</x:v>
      </x:c>
    </x:row>
    <x:row r="27" ht="84" customHeight="1">
      <x:c r="A27" s="312" t="str">
        <x:v>223</x:v>
      </x:c>
      <x:c r="B27" s="304" t="str">
        <x:v>M. 카인의 고정</x:v>
      </x:c>
      <x:c r="C27" s="304" t="str">
        <x:v>되돌아간 3미터</x:v>
      </x:c>
      <x:c r="D27" s="314" t="str">
        <x:v>88%</x:v>
      </x:c>
      <x:c r="E27" s="318" t="n">
        <x:v>1300</x:v>
      </x:c>
      <x:c r="F27" s="318" t="n">
        <x:v>20</x:v>
      </x:c>
      <x:c r="G27" s="318" t="n">
        <x:v>50</x:v>
      </x:c>
      <x:c r="H27" s="304" t="str">
        <x:v>24mm WIDE, 반사된 힘으로 3m 몸통 전체가 뒤로 밀리는 거리</x:v>
      </x:c>
      <x:c r="I27" s="304" t="str">
        <x:v>놈은 발이 뜨지 않은 채 몸통 전체가 뒤로 밀린다. 바닥 끌림 자국으로 되돌아간 힘의 크기를 표현한다.</x:v>
      </x:c>
      <x:c r="J27" s="304" t="str">
        <x:v>텍스트 없음.</x:v>
      </x:c>
      <x:c r="K27" s="304" t="str">
        <x:v>3m 몸이 바닥을 끌며 밀리는 거친 마찰.</x:v>
      </x:c>
      <x:c r="L27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27" s="304" t="str">
        <x:v>1회독에는 ‘되돌아간 3미터’을 먼저 본다. 카인이 힘을 받지 않고 되돌리는 고정·가드 문법을 학습</x:v>
      </x:c>
      <x:c r="N27" s="304" t="str">
        <x:v>후속 정보가 생기면 행동·배경의 의미를 재검토</x:v>
      </x:c>
      <x:c r="O27" s="304" t="str">
        <x:v>독자는 ‘선택 / 대가 / 침묵’를 설명이 아니라 황혼의 판단 언어로 체화한다.</x:v>
      </x:c>
      <x:c r="P27" s="304" t="str">
        <x:v>퍼펙트 가드·힘 되돌림·고정 창</x:v>
      </x:c>
      <x:c r="Q27" s="304" t="str">
        <x:v>GLOBAL-VIS-01</x:v>
      </x:c>
      <x:c r="R27" s="304" t="str">
        <x:v>실패는 화려한 패배가 아니라 거리 오차로 설명한다. 동일 측면 구도와 신체 접촉점을 보존하고, 카인의 방어는 벽이 아니라 반동·고정으로 읽히게 한다.</x:v>
      </x:c>
      <x:c r="S27" s="323" t="str">
        <x:v>LOCKED_v1</x:v>
      </x:c>
    </x:row>
    <x:row r="28" ht="84" customHeight="1">
      <x:c r="A28" s="312" t="str">
        <x:v>224</x:v>
      </x:c>
      <x:c r="B28" s="304" t="str">
        <x:v>M. 카인의 고정</x:v>
      </x:c>
      <x:c r="C28" s="304" t="str">
        <x:v>내 뒤로는</x:v>
      </x:c>
      <x:c r="D28" s="314" t="str">
        <x:v>54%</x:v>
      </x:c>
      <x:c r="E28" s="318" t="n">
        <x:v>1200</x:v>
      </x:c>
      <x:c r="F28" s="318" t="n">
        <x:v>10</x:v>
      </x:c>
      <x:c r="G28" s="318" t="n">
        <x:v>40</x:v>
      </x:c>
      <x:c r="H28" s="304" t="str">
        <x:v>110mm ECU LOW, 바닥을 파고드는 카인의 발과 이를 악문 입을 대각 분할</x:v>
      </x:c>
      <x:c r="I28" s="304" t="str">
        <x:v>카인의 발이 콘크리트를 파고들고 종아리·턱에 부담이 모인다. 대사는 아인을 향한 보호 선언이 아니라 자기 자리의 규칙처럼 나온다.</x:v>
      </x:c>
      <x:c r="J28" s="304" t="str">
        <x:v>말풍선을 아인 쪽이 아니라 카인의 앞면 가까이에. 「내 뒤로는… 못 지난다!」</x:v>
      </x:c>
      <x:c r="K28" s="304" t="str">
        <x:v>콘크리트가 발 아래서 부서지는 소리와 이를 악무는 마찰. 대사는 그 위에.</x:v>
      </x:c>
      <x:c r="L28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28" s="304" t="str">
        <x:v>1회독에는 ‘내 뒤로는’을 먼저 본다. 카인이 힘을 받지 않고 되돌리는 고정·가드 문법을 학습</x:v>
      </x:c>
      <x:c r="N28" s="304" t="str">
        <x:v>‘내 뒤로는’은 영웅적 선언이 아니라 2년 동안 유지한 반보의 기능을 처음 말로 드러낸 문장이 된다.</x:v>
      </x:c>
      <x:c r="O28" s="304" t="str">
        <x:v>독자는 ‘거리 / 보호 / 선택’를 설명이 아니라 황혼의 판단 언어로 체화한다.</x:v>
      </x:c>
      <x:c r="P28" s="304" t="str">
        <x:v>퍼펙트 가드·힘 되돌림·고정 창</x:v>
      </x:c>
      <x:c r="Q28" s="304" t="str">
        <x:v>GLOBAL-VIS-01 / ‘내 뒤로는’은 관계 시그니처. 카인이 아인 옆을 차지하는 구도로 바꾸지 않는다.</x:v>
      </x:c>
      <x:c r="R28" s="304" t="str">
        <x:v>실패는 화려한 패배가 아니라 거리 오차로 설명한다. 동일 측면 구도와 신체 접촉점을 보존하고, 카인의 방어는 벽이 아니라 반동·고정으로 읽히게 한다.</x:v>
      </x:c>
      <x:c r="S28" s="323" t="str">
        <x:v>LOCKED_v1</x:v>
      </x:c>
    </x:row>
    <x:row r="29" ht="84" customHeight="1">
      <x:c r="A29" s="312" t="str">
        <x:v>225</x:v>
      </x:c>
      <x:c r="B29" s="304" t="str">
        <x:v>M. 카인의 고정</x:v>
      </x:c>
      <x:c r="C29" s="304" t="str">
        <x:v>무너진 자세</x:v>
      </x:c>
      <x:c r="D29" s="314" t="str">
        <x:v>88%</x:v>
      </x:c>
      <x:c r="E29" s="318" t="n">
        <x:v>900</x:v>
      </x:c>
      <x:c r="F29" s="318" t="n">
        <x:v>20</x:v>
      </x:c>
      <x:c r="G29" s="318" t="n">
        <x:v>20</x:v>
      </x:c>
      <x:c r="H29" s="304" t="str">
        <x:v>28mm WIDE, 힘이 빠진 놈이 자기 무게에 휘청이며 관절선이 무너지는 순간</x:v>
      </x:c>
      <x:c r="I29" s="304" t="str">
        <x:v>놈의 어깨·허리·발 고정이 동시에 풀려 자기 무게를 못 받는다. CUT195~198의 예비동작이 역순으로 무너지는 느낌을 준다.</x:v>
      </x:c>
      <x:c r="J29" s="304" t="str">
        <x:v>나레이션 첫 부분 「길어야 숨 한 번.」을 휘청이는 몸 위 빈 공간에.</x:v>
      </x:c>
      <x:c r="K29" s="304" t="str">
        <x:v>강선 장력이 풀리는 여러 작은 소리가 한꺼번에 내려앉는다.</x:v>
      </x:c>
      <x:c r="L29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29" s="304" t="str">
        <x:v>1회독에는 ‘무너진 자세’을 먼저 본다. 카인이 힘을 받지 않고 되돌리는 고정·가드 문법을 학습</x:v>
      </x:c>
      <x:c r="N29" s="304" t="str">
        <x:v>시그니처 상징의 기원</x:v>
      </x:c>
      <x:c r="O29" s="304" t="str">
        <x:v>독자는 ‘선택 / 대가 / 침묵’를 설명이 아니라 황혼의 판단 언어로 체화한다.</x:v>
      </x:c>
      <x:c r="P29" s="304" t="str">
        <x:v>퍼펙트 가드·힘 되돌림·고정 창</x:v>
      </x:c>
      <x:c r="Q29" s="304" t="str">
        <x:v>GLOBAL-VIS-01</x:v>
      </x:c>
      <x:c r="R29" s="304" t="str">
        <x:v>실패는 화려한 패배가 아니라 거리 오차로 설명한다. 동일 측면 구도와 신체 접촉점을 보존하고, 카인의 방어는 벽이 아니라 반동·고정으로 읽히게 한다.</x:v>
      </x:c>
      <x:c r="S29" s="323" t="str">
        <x:v>LOCKED_v1</x:v>
      </x:c>
    </x:row>
    <x:row r="30" ht="84" customHeight="1">
      <x:c r="A30" s="325" t="str">
        <x:v>226</x:v>
      </x:c>
      <x:c r="B30" s="326" t="str">
        <x:v>M. 카인의 고정</x:v>
      </x:c>
      <x:c r="C30" s="326" t="str">
        <x:v>숨 한 번의 창</x:v>
      </x:c>
      <x:c r="D30" s="327" t="str">
        <x:v>88%</x:v>
      </x:c>
      <x:c r="E30" s="328" t="n">
        <x:v>500</x:v>
      </x:c>
      <x:c r="F30" s="328" t="n">
        <x:v>10</x:v>
      </x:c>
      <x:c r="G30" s="328" t="n">
        <x:v>220</x:v>
      </x:c>
      <x:c r="H30" s="326" t="str">
        <x:v>65mm SIDE INSERT, 복구 전 빈 한 호흡을 아인과 놈 사이 공간으로 보여주는 창</x:v>
      </x:c>
      <x:c r="I30" s="326" t="str">
        <x:v>아인과 놈 사이에 딱 한 번 열린 빈 창을 보여준다. 나레이션 ‘그 한 번이 전부였다’를 빈 공간에 두고 다음 컷의 정지로 연결한다.</x:v>
      </x:c>
      <x:c r="J30" s="326" t="str">
        <x:v>나레이션 마지막 「그 한 번이 전부였다.」를 아인과 놈 사이 빈 거리 중앙에 한 줄. 이후 긴 무음.</x:v>
      </x:c>
      <x:c r="K30" s="326" t="str">
        <x:v>한 호흡 분량 완전 무음. 끝에서 아인의 발이 멈추는 소리도 넣지 않는다.</x:v>
      </x:c>
      <x:c r="L30" s="326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30" s="326" t="str">
        <x:v>1회독에는 ‘숨 한 번의 창’을 먼저 본다. 카인이 힘을 받지 않고 되돌리는 고정·가드 문법을 학습</x:v>
      </x:c>
      <x:c r="N30" s="326" t="str">
        <x:v>카인의 고정이 만든 창은 공격 기회가 아니라 숨 한 번뿐이었다. 파티 역할의 순서가 이 짧은 공백에서 시작된다.</x:v>
      </x:c>
      <x:c r="O30" s="326" t="str">
        <x:v>독자는 ‘선택 / 대가 / 침묵’를 설명이 아니라 황혼의 판단 언어로 체화한다.</x:v>
      </x:c>
      <x:c r="P30" s="326" t="str">
        <x:v>가드 성공 후 ‘숨 한 번’만 열리는 공격 창. 시간 정지보다 짧은 실제 경직으로 설계한다.</x:v>
      </x:c>
      <x:c r="Q30" s="326" t="str">
        <x:v>GLOBAL-VIS-01 / EDITORIAL_CANON_SPLIT. ‘그 한 번이 전부였다’ 창. 말풍선·추가 공격 금지.</x:v>
      </x:c>
      <x:c r="R30" s="326" t="str">
        <x:v>실패는 화려한 패배가 아니라 거리 오차로 설명한다. 동일 측면 구도와 신체 접촉점을 보존하고, 카인의 방어는 벽이 아니라 반동·고정으로 읽히게 한다.</x:v>
      </x:c>
      <x:c r="S30" s="329" t="str">
        <x:v>LOCKED_v1</x:v>
      </x:c>
    </x:row>
    <x:row r="31" ht="84" customHeight="1">
      <x:c r="A31" s="312" t="str">
        <x:v>227</x:v>
      </x:c>
      <x:c r="B31" s="304" t="str">
        <x:v>N. 뛰지 않는 두 번째 선택</x:v>
      </x:c>
      <x:c r="C31" s="304" t="str">
        <x:v>다시 일어선다</x:v>
      </x:c>
      <x:c r="D31" s="314" t="str">
        <x:v>72%</x:v>
      </x:c>
      <x:c r="E31" s="318" t="n">
        <x:v>600</x:v>
      </x:c>
      <x:c r="F31" s="318" t="n">
        <x:v>90</x:v>
      </x:c>
      <x:c r="G31" s="318" t="n">
        <x:v>220</x:v>
      </x:c>
      <x:c r="H31" s="304" t="str">
        <x:v>55mm MS, 아인이 프레임 하단에서 다시 일어나는 짧은 숏</x:v>
      </x:c>
      <x:c r="I31" s="304" t="str">
        <x:v>아인은 크게 튀어 일어나지 않는다. 한 번의 동작으로 몸을 세우고 즉시 발 위치를 본다.</x:v>
      </x:c>
      <x:c r="J31" s="304" t="str">
        <x:v>텍스트 없음.</x:v>
      </x:c>
      <x:c r="K31" s="304" t="str">
        <x:v>옷과 매트 마찰 한 번.</x:v>
      </x:c>
      <x:c r="L31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31" s="304" t="str">
        <x:v>1회독에는 ‘다시 일어선다’을 먼저 본다. 결절을 걸어 끊고 온전한 결정을 회수하는 핵심 루프를 학습</x:v>
      </x:c>
      <x:c r="N31" s="304" t="str">
        <x:v>침묵한 반응의 이유를 후발 정보로 다시 읽음</x:v>
      </x:c>
      <x:c r="O31" s="304" t="str">
        <x:v>독자는 ‘선택 / 대가 / 침묵’를 설명이 아니라 황혼의 판단 언어로 체화한다.</x:v>
      </x:c>
      <x:c r="P31" s="304" t="str">
        <x:v>결절 노출·스위트 스폿·부위 파괴·소재 회수</x:v>
      </x:c>
      <x:c r="Q31" s="304" t="str">
        <x:v>대사 금지 또는 응답 없는 침묵 유지 / 아인 왼쪽 견갑·오른쪽 건틀릿 좌우 고정 / GLOBAL-VIS-01</x:v>
      </x:c>
      <x:c r="R31" s="304" t="str">
        <x:v>정지→거리 측정→도약→시간 지연→완전한 원→부위 파괴의 순서를 명확히 한다. 화려함은 결절과 반경의 판독성을 해치지 않는 범위에서만 허용한다.</x:v>
      </x:c>
      <x:c r="S31" s="323" t="str">
        <x:v>LOCKED_v1</x:v>
      </x:c>
    </x:row>
    <x:row r="32" ht="84" customHeight="1">
      <x:c r="A32" s="312" t="str">
        <x:v>228</x:v>
      </x:c>
      <x:c r="B32" s="304" t="str">
        <x:v>N. 뛰지 않는 두 번째 선택</x:v>
      </x:c>
      <x:c r="C32" s="304" t="str">
        <x:v>뛰지 않는 선택</x:v>
      </x:c>
      <x:c r="D32" s="314" t="str">
        <x:v>90%</x:v>
      </x:c>
      <x:c r="E32" s="318" t="n">
        <x:v>1400</x:v>
      </x:c>
      <x:c r="F32" s="318" t="n">
        <x:v>30</x:v>
      </x:c>
      <x:c r="G32" s="318" t="n">
        <x:v>160</x:v>
      </x:c>
      <x:c r="H32" s="304" t="str">
        <x:v>35mm SIDE EYE-LEVEL LOCK, CUT201과 같은 축에서 딱 낫 하나 길이만 남긴 정답 거리</x:v>
      </x:c>
      <x:c r="I32" s="304" t="str">
        <x:v>CUT201의 기준축을 회수하되 이번에는 아인이 더 가까이 가지 않는다. 낫 자루 한 개가 정확히 들어갈 빈 공간을 프레임 중앙에 둔다.</x:v>
      </x:c>
      <x:c r="J32" s="304" t="str">
        <x:v>텍스트 없음. 정답 거리 표시선·수치 금지.</x:v>
      </x:c>
      <x:c r="K32" s="304" t="str">
        <x:v>호흡과 놈의 복구음만. 아인은 뛰지 않는다.</x:v>
      </x:c>
      <x:c r="L32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32" s="304" t="str">
        <x:v>아인이 이번에는 뛰지 않고 딱 낫 하나 길이를 지키는 선택을 본다.</x:v>
      </x:c>
      <x:c r="N32" s="304" t="str">
        <x:v>CUT201의 기준 구도가 정답 거리로 회수된다. 아인이 성장해서가 아니라 더 이상 한 발을 욕심내지 않았기 때문에 성공한다.</x:v>
      </x:c>
      <x:c r="O32" s="304" t="str">
        <x:v>독자는 ‘거리 / 보호 / 선택 / 박자’를 설명이 아니라 황혼의 판단 언어로 체화한다.</x:v>
      </x:c>
      <x:c r="P32" s="304" t="str">
        <x:v>낫 최적 거리 밴드 재진입. 공격 버튼보다 움직이지 않는 입력이 핵심이 될 수 있다.</x:v>
      </x:c>
      <x:c r="Q32" s="304" t="str">
        <x:v>지정 컷과 동일 구도 / GLOBAL-VIS-01 / CUT201 동일 구도 회수. 딱 낫 하나 길이. 거리 수치 자막 금지.</x:v>
      </x:c>
      <x:c r="R32" s="304" t="str">
        <x:v>정지→거리 측정→도약→시간 지연→완전한 원→부위 파괴의 순서를 명확히 한다. 화려함은 결절과 반경의 판독성을 해치지 않는 범위에서만 허용한다.</x:v>
      </x:c>
      <x:c r="S32" s="323" t="str">
        <x:v>LOCKED_v1</x:v>
      </x:c>
    </x:row>
    <x:row r="33" ht="84" customHeight="1">
      <x:c r="A33" s="312" t="str">
        <x:v>229</x:v>
      </x:c>
      <x:c r="B33" s="304" t="str">
        <x:v>N. 뛰지 않는 두 번째 선택</x:v>
      </x:c>
      <x:c r="C33" s="304" t="str">
        <x:v>멈춘 발끝</x:v>
      </x:c>
      <x:c r="D33" s="314" t="str">
        <x:v>56%</x:v>
      </x:c>
      <x:c r="E33" s="318" t="n">
        <x:v>500</x:v>
      </x:c>
      <x:c r="F33" s="318" t="n">
        <x:v>20</x:v>
      </x:c>
      <x:c r="G33" s="318" t="n">
        <x:v>200</x:v>
      </x:c>
      <x:c r="H33" s="304" t="str">
        <x:v>130mm INSERT, 앞으로 나가지 않는 아인의 발끝</x:v>
      </x:c>
      <x:c r="I33" s="304" t="str">
        <x:v>발끝이 긴장으로 떨려도 앞으로 미끄러지지 않는다. ‘공격하지 않는 행동’을 독립 컷으로 인정한다.</x:v>
      </x:c>
      <x:c r="J33" s="304" t="str">
        <x:v>텍스트 없음. 완전 무음.</x:v>
      </x:c>
      <x:c r="K33" s="304" t="str">
        <x:v>완전 무음.</x:v>
      </x:c>
      <x:c r="L33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33" s="304" t="str">
        <x:v>1회독에는 ‘멈춘 발끝’을 먼저 본다. 결절을 걸어 끊고 온전한 결정을 회수하는 핵심 루프를 학습</x:v>
      </x:c>
      <x:c r="N33" s="304" t="str">
        <x:v>움직이지 않은 발이 이번 전투의 가장 중요한 행동이었다고 다시 읽힌다.</x:v>
      </x:c>
      <x:c r="O33" s="304" t="str">
        <x:v>독자는 ‘거리 / 보호 / 선택’를 설명이 아니라 황혼의 판단 언어로 체화한다.</x:v>
      </x:c>
      <x:c r="P33" s="304" t="str">
        <x:v>결절 노출·스위트 스폿·부위 파괴·소재 회수</x:v>
      </x:c>
      <x:c r="Q33" s="304" t="str">
        <x:v>대사 금지 또는 응답 없는 침묵 유지 / 필수 정보·좌우·거리 판독성 우선 / GLOBAL-VIS-01 / 발은 움직이지 않는다. 대사 금지.</x:v>
      </x:c>
      <x:c r="R33" s="304" t="str">
        <x:v>정지→거리 측정→도약→시간 지연→완전한 원→부위 파괴의 순서를 명확히 한다. 화려함은 결절과 반경의 판독성을 해치지 않는 범위에서만 허용한다.</x:v>
      </x:c>
      <x:c r="S33" s="323" t="str">
        <x:v>LOCKED_v1</x:v>
      </x:c>
    </x:row>
    <x:row r="34" ht="84" customHeight="1">
      <x:c r="A34" s="312" t="str">
        <x:v>230</x:v>
      </x:c>
      <x:c r="B34" s="304" t="str">
        <x:v>N. 뛰지 않는 두 번째 선택</x:v>
      </x:c>
      <x:c r="C34" s="304" t="str">
        <x:v>거리를 재는 눈</x:v>
      </x:c>
      <x:c r="D34" s="314" t="str">
        <x:v>54%</x:v>
      </x:c>
      <x:c r="E34" s="318" t="n">
        <x:v>700</x:v>
      </x:c>
      <x:c r="F34" s="318" t="n">
        <x:v>20</x:v>
      </x:c>
      <x:c r="G34" s="318" t="n">
        <x:v>50</x:v>
      </x:c>
      <x:c r="H34" s="304" t="str">
        <x:v>120mm ECU, 눈동자가 놈이 아니라 사이 공간을 훑는 움직임</x:v>
      </x:c>
      <x:c r="I34" s="304" t="str">
        <x:v>아인의 시선은 놈 관절→바닥→낫 끝 순으로 짧게 이동한다. 대사 뒤를 대시로 열어 다음 도약과 연결한다.</x:v>
      </x:c>
      <x:c r="J34" s="304" t="str">
        <x:v>「이번엔—」 한 말풍선. 다음 도약 방향을 가리지 않도록 눈 위가 아닌 프레임 바깥쪽에.</x:v>
      </x:c>
      <x:c r="K34" s="304" t="str">
        <x:v>짧은 들숨 후 대사.</x:v>
      </x:c>
      <x:c r="L34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34" s="304" t="str">
        <x:v>1회독에는 ‘거리를 재는 눈’을 먼저 본다. 결절을 걸어 끊고 온전한 결정을 회수하는 핵심 루프를 학습</x:v>
      </x:c>
      <x:c r="N34" s="304" t="str">
        <x:v>후속 정보가 생기면 행동·배경의 의미를 재검토</x:v>
      </x:c>
      <x:c r="O34" s="304" t="str">
        <x:v>독자는 ‘선택 / 대가 / 침묵’를 설명이 아니라 황혼의 판단 언어로 체화한다.</x:v>
      </x:c>
      <x:c r="P34" s="304" t="str">
        <x:v>결절 노출·스위트 스폿·부위 파괴·소재 회수</x:v>
      </x:c>
      <x:c r="Q34" s="304" t="str">
        <x:v>아인 왼쪽 견갑·오른쪽 건틀릿 좌우 고정 / GLOBAL-VIS-01</x:v>
      </x:c>
      <x:c r="R34" s="304" t="str">
        <x:v>정지→거리 측정→도약→시간 지연→완전한 원→부위 파괴의 순서를 명확히 한다. 화려함은 결절과 반경의 판독성을 해치지 않는 범위에서만 허용한다.</x:v>
      </x:c>
      <x:c r="S34" s="323" t="str">
        <x:v>LOCKED_v1</x:v>
      </x:c>
    </x:row>
    <x:row r="35" ht="84" customHeight="1">
      <x:c r="A35" s="312" t="str">
        <x:v>231</x:v>
      </x:c>
      <x:c r="B35" s="304" t="str">
        <x:v>N. 뛰지 않는 두 번째 선택</x:v>
      </x:c>
      <x:c r="C35" s="304" t="str">
        <x:v>정확한 자리에서 도약</x:v>
      </x:c>
      <x:c r="D35" s="314" t="str">
        <x:v>96% BLEED</x:v>
      </x:c>
      <x:c r="E35" s="318" t="n">
        <x:v>2800</x:v>
      </x:c>
      <x:c r="F35" s="318" t="n">
        <x:v>10</x:v>
      </x:c>
      <x:c r="G35" s="318" t="n">
        <x:v>20</x:v>
      </x:c>
      <x:c r="H35" s="304" t="str">
        <x:v>24mm VERTICAL LAUNCH, 정답 거리에서 몸을 비틀어 위로 솟구치는 전신</x:v>
      </x:c>
      <x:c r="I35" s="304" t="str">
        <x:v>발은 정답 거리에서 떠나고 몸통은 낫 원과 같은 방향으로 비틀린다. 도약 자체보다 회전 반경이 준비되는 과정을 보여준다.</x:v>
      </x:c>
      <x:c r="J35" s="304" t="str">
        <x:v>‘타앙—’을 발이 떠난 바닥에 남기고 위쪽 궤적은 비운다.</x:v>
      </x:c>
      <x:c r="K35" s="304" t="str">
        <x:v>발이 바닥을 차는 ‘타앙—’. 위쪽에는 소리를 남기지 않는다.</x:v>
      </x:c>
      <x:c r="L35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35" s="304" t="str">
        <x:v>1회독에는 ‘정확한 자리에서 도약’을 먼저 본다. 결절을 걸어 끊고 온전한 결정을 회수하는 핵심 루프를 학습</x:v>
      </x:c>
      <x:c r="N35" s="304" t="str">
        <x:v>시그니처 상징의 기원</x:v>
      </x:c>
      <x:c r="O35" s="304" t="str">
        <x:v>독자는 ‘선택 / 대가 / 침묵’를 설명이 아니라 황혼의 판단 언어로 체화한다.</x:v>
      </x:c>
      <x:c r="P35" s="304" t="str">
        <x:v>결절 노출·스위트 스폿·부위 파괴·소재 회수</x:v>
      </x:c>
      <x:c r="Q35" s="304" t="str">
        <x:v>아인 왼쪽 견갑·오른쪽 건틀릿 좌우 고정 / GLOBAL-VIS-01 / 아인 왼쪽 견갑·오른쪽 건틀릿. 낫 원 중심과 몸축 일치.</x:v>
      </x:c>
      <x:c r="R35" s="304" t="str">
        <x:v>정지→거리 측정→도약→시간 지연→완전한 원→부위 파괴의 순서를 명확히 한다. 화려함은 결절과 반경의 판독성을 해치지 않는 범위에서만 허용한다.</x:v>
      </x:c>
      <x:c r="S35" s="323" t="str">
        <x:v>LOCKED_v1</x:v>
      </x:c>
    </x:row>
    <x:row r="36" ht="84" customHeight="1">
      <x:c r="A36" s="312" t="str">
        <x:v>232</x:v>
      </x:c>
      <x:c r="B36" s="304" t="str">
        <x:v>O. 보이는 경로</x:v>
      </x:c>
      <x:c r="C36" s="304" t="str">
        <x:v>시간이 늘어지다</x:v>
      </x:c>
      <x:c r="D36" s="314" t="str">
        <x:v>100%</x:v>
      </x:c>
      <x:c r="E36" s="318" t="n">
        <x:v>550</x:v>
      </x:c>
      <x:c r="F36" s="318" t="n">
        <x:v>0</x:v>
      </x:c>
      <x:c r="G36" s="318" t="n">
        <x:v>0</x:v>
      </x:c>
      <x:c r="H36" s="304" t="str">
        <x:v>전면 색조 전환 1/2, 현실 프레임이 늘어나며 가장자리 움직임이 느려지는 감각</x:v>
      </x:c>
      <x:c r="I36" s="304" t="str">
        <x:v>현실의 냉백 잔여가 사라지고 엠버·보라 채도가 순간적으로 올라간다. 배경선은 늘어나지만 인물 윤곽은 선명하게 유지한다.</x:v>
      </x:c>
      <x:c r="J36" s="304" t="str">
        <x:v>텍스트·SFX 없음. 소리가 사라지는 전환 자체가 정보다.</x:v>
      </x:c>
      <x:c r="K36" s="304" t="str">
        <x:v>환경음이 갑자기 멀어지는 저역 필터 전환.</x:v>
      </x:c>
      <x:c r="L36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36" s="304" t="str">
        <x:v>1회독에는 ‘시간이 늘어지다’을 먼저 본다. 결절을 걸어 끊고 온전한 결정을 회수하는 핵심 루프를 학습</x:v>
      </x:c>
      <x:c r="N36" s="304" t="str">
        <x:v>후속 정보가 생기면 행동·배경의 의미를 재검토</x:v>
      </x:c>
      <x:c r="O36" s="304" t="str">
        <x:v>독자는 ‘선택 / 대가 / 침묵’를 설명이 아니라 황혼의 판단 언어로 체화한다.</x:v>
      </x:c>
      <x:c r="P36" s="304" t="str">
        <x:v>결절 노출·스위트 스폿·부위 파괴·소재 회수</x:v>
      </x:c>
      <x:c r="Q36" s="304" t="str">
        <x:v>GLOBAL-VIS-01 / 시간 지연은 시각·음향으로만. 게임 UI 금지.</x:v>
      </x:c>
      <x:c r="R36" s="304" t="str">
        <x:v>정지→거리 측정→도약→시간 지연→완전한 원→부위 파괴의 순서를 명확히 한다. 화려함은 결절과 반경의 판독성을 해치지 않는 범위에서만 허용한다.</x:v>
      </x:c>
      <x:c r="S36" s="323" t="str">
        <x:v>LOCKED_v1</x:v>
      </x:c>
    </x:row>
    <x:row r="37" ht="84" customHeight="1">
      <x:c r="A37" s="312" t="str">
        <x:v>233</x:v>
      </x:c>
      <x:c r="B37" s="304" t="str">
        <x:v>O. 보이는 경로</x:v>
      </x:c>
      <x:c r="C37" s="304" t="str">
        <x:v>궤적이 조각나다</x:v>
      </x:c>
      <x:c r="D37" s="314" t="str">
        <x:v>100%</x:v>
      </x:c>
      <x:c r="E37" s="318" t="n">
        <x:v>950</x:v>
      </x:c>
      <x:c r="F37" s="318" t="n">
        <x:v>0</x:v>
      </x:c>
      <x:c r="G37" s="318" t="n">
        <x:v>20</x:v>
      </x:c>
      <x:c r="H37" s="304" t="str">
        <x:v>전면 색조 전환 2/2, 팔 궤적이 분절된 잔상처럼 한 조각씩 보이는 시야</x:v>
      </x:c>
      <x:c r="I37" s="304" t="str">
        <x:v>놈 팔의 이동을 4~5개 분절 위치로 보여준다. 게임 UI식 슬로모션 게이지 없이 아인의 지각 변화만으로 시간 지연을 표현한다.</x:v>
      </x:c>
      <x:c r="J37" s="304" t="str">
        <x:v>텍스트 없음. 멀어지는 환경음을 글자로 표시하지 않는다.</x:v>
      </x:c>
      <x:c r="K37" s="304" t="str">
        <x:v>심장박과 코어 공명만 느리게. 궤적마다 UI 클릭음을 넣지 않는다.</x:v>
      </x:c>
      <x:c r="L37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37" s="304" t="str">
        <x:v>1회독에는 ‘궤적이 조각나다’을 먼저 본다. 결절을 걸어 끊고 온전한 결정을 회수하는 핵심 루프를 학습</x:v>
      </x:c>
      <x:c r="N37" s="304" t="str">
        <x:v>후속 정보가 생기면 행동·배경의 의미를 재검토</x:v>
      </x:c>
      <x:c r="O37" s="304" t="str">
        <x:v>독자는 ‘거리 / 보호 / 선택’를 설명이 아니라 황혼의 판단 언어로 체화한다.</x:v>
      </x:c>
      <x:c r="P37" s="304" t="str">
        <x:v>결절 노출·스위트 스폿·부위 파괴·소재 회수</x:v>
      </x:c>
      <x:c r="Q37" s="304" t="str">
        <x:v>GLOBAL-VIS-01 / 청록 스피드 트레일 금지. 엠버·보라만.</x:v>
      </x:c>
      <x:c r="R37" s="304" t="str">
        <x:v>정지→거리 측정→도약→시간 지연→완전한 원→부위 파괴의 순서를 명확히 한다. 화려함은 결절과 반경의 판독성을 해치지 않는 범위에서만 허용한다.</x:v>
      </x:c>
      <x:c r="S37" s="323" t="str">
        <x:v>LOCKED_v1</x:v>
      </x:c>
    </x:row>
    <x:row r="38" ht="84" customHeight="1">
      <x:c r="A38" s="312" t="str">
        <x:v>234</x:v>
      </x:c>
      <x:c r="B38" s="304" t="str">
        <x:v>O. 보이는 경로</x:v>
      </x:c>
      <x:c r="C38" s="304" t="str">
        <x:v>힘의 길</x:v>
      </x:c>
      <x:c r="D38" s="314" t="str">
        <x:v>84% 도해</x:v>
      </x:c>
      <x:c r="E38" s="318" t="n">
        <x:v>2600</x:v>
      </x:c>
      <x:c r="F38" s="318" t="n">
        <x:v>40</x:v>
      </x:c>
      <x:c r="G38" s="318" t="n">
        <x:v>60</x:v>
      </x:c>
      <x:c r="H38" s="304" t="str">
        <x:v>정면 ORTHOGRAPHIC FORCE DIAGRAM, 어깨→팔꿈치→손끝의 경로와 얇아지는 이음매만</x:v>
      </x:c>
      <x:c r="I38" s="304" t="str">
        <x:v>힘의 경로는 화살표보다 나노 강선의 굵기 변화로 설명한다. 이음매 두 곳만 얇아지고 결정 위치는 정중앙이 아닌 살짝 비껴 있음을 암시한다.</x:v>
      </x:c>
      <x:c r="J38" s="304" t="str">
        <x:v>나레이션을 경로 순서에 맞춰 네 짧은 덩어리로 배치한다. 마지막 「죽이는 게 아니다. 끊는 것이다.」는 도해 아래에 독립.</x:v>
      </x:c>
      <x:c r="K38" s="304" t="str">
        <x:v>나레이션과 아주 낮은 강선 공명. 정보 전달을 방해하는 음악 금지.</x:v>
      </x:c>
      <x:c r="L38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38" s="304" t="str">
        <x:v>놈의 몸 안에 힘이 흐르는 경로와 얇은 이음매가 있다는 규칙을 배운다.</x:v>
      </x:c>
      <x:c r="N38" s="304" t="str">
        <x:v>이음매·경로·결정이 이후 파티의 ‘고정→동시→파괴→봉쇄’ 구조로 확장되는 최초의 물리 언어가 된다.</x:v>
      </x:c>
      <x:c r="O38" s="304" t="str">
        <x:v>독자는 ‘손 / 놓침 / 책임’를 설명이 아니라 황혼의 판단 언어로 체화한다.</x:v>
      </x:c>
      <x:c r="P38" s="304" t="str">
        <x:v>결절·힘 경로·부위 파괴의 공통 보스 시스템. 경로를 완전히 표시하지 않고 관찰로 노출한다.</x:v>
      </x:c>
      <x:c r="Q38" s="304" t="str">
        <x:v>필수 정보·좌우·거리 판독성 우선 / 정보 컷; 분위기보다 이해 우선 / GLOBAL-VIS-01 / 정보 컷. 힘 경로와 얇은 이음매 판독. 결정은 이음매 정중앙이 아닌 살짝 비껴 있음.</x:v>
      </x:c>
      <x:c r="R38" s="304" t="str">
        <x:v>정지→거리 측정→도약→시간 지연→완전한 원→부위 파괴의 순서를 명확히 한다. 화려함은 결절과 반경의 판독성을 해치지 않는 범위에서만 허용한다.</x:v>
      </x:c>
      <x:c r="S38" s="323" t="str">
        <x:v>LOCKED_v1</x:v>
      </x:c>
    </x:row>
    <x:row r="39" ht="84" customHeight="1">
      <x:c r="A39" s="312" t="str">
        <x:v>235</x:v>
      </x:c>
      <x:c r="B39" s="304" t="str">
        <x:v>O. 보이는 경로</x:v>
      </x:c>
      <x:c r="C39" s="304" t="str">
        <x:v>완전한 원</x:v>
      </x:c>
      <x:c r="D39" s="314" t="str">
        <x:v>100% BLEED</x:v>
      </x:c>
      <x:c r="E39" s="318" t="n">
        <x:v>3954</x:v>
      </x:c>
      <x:c r="F39" s="318" t="n">
        <x:v>10</x:v>
      </x:c>
      <x:c r="G39" s="318" t="n">
        <x:v>0</x:v>
      </x:c>
      <x:c r="H39" s="304" t="str">
        <x:v>20mm VERTICAL BLEED, 낫의 완전한 원이 화면 세로축을 가르며 반경 전부를 보여줌</x:v>
      </x:c>
      <x:c r="I39" s="304" t="str">
        <x:v>낫의 궤적은 완전한 원으로 이어져야 하며, 원 가장 바깥 1/4 끝자락이 가장 밝다. 아인의 몸이 원 중심에서 균형을 잡는다.</x:v>
      </x:c>
      <x:c r="J39" s="304" t="str">
        <x:v>텍스트 없음. 원을 글자로 가리지 않는다.</x:v>
      </x:c>
      <x:c r="K39" s="304" t="str">
        <x:v>낫이 원을 그리는 공기 절단음이 한 바퀴 연결된다.</x:v>
      </x:c>
      <x:c r="L39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39" s="304" t="str">
        <x:v>1회독에는 ‘완전한 원’을 먼저 본다. 결절을 걸어 끊고 온전한 결정을 회수하는 핵심 루프를 학습</x:v>
      </x:c>
      <x:c r="N39" s="304" t="str">
        <x:v>CUT014의 끝자락 발광이 장식이 아니라 원 가장 바깥의 유효 타격점이었음을 확인한다.</x:v>
      </x:c>
      <x:c r="O39" s="304" t="str">
        <x:v>독자는 ‘거리 / 박자 / 원’를 설명이 아니라 황혼의 판단 언어로 체화한다.</x:v>
      </x:c>
      <x:c r="P39" s="304" t="str">
        <x:v>낫의 원형 공격 판정과 끝자락 스위트 스폿이 시각 궤적과 일치한다.</x:v>
      </x:c>
      <x:c r="Q39" s="304" t="str">
        <x:v>GLOBAL-VIS-01 / 완전한 원과 끝자락 1/4 밝기. 원이 프레임 밖에서 잘리면 안 된다.</x:v>
      </x:c>
      <x:c r="R39" s="304" t="str">
        <x:v>정지→거리 측정→도약→시간 지연→완전한 원→부위 파괴의 순서를 명확히 한다. 화려함은 결절과 반경의 판독성을 해치지 않는 범위에서만 허용한다.</x:v>
      </x:c>
      <x:c r="S39" s="323" t="str">
        <x:v>LOCKED_v1</x:v>
      </x:c>
    </x:row>
    <x:row r="40" ht="84" customHeight="1">
      <x:c r="A40" s="312" t="str">
        <x:v>236</x:v>
      </x:c>
      <x:c r="B40" s="304" t="str">
        <x:v>P. 스위트 스폿</x:v>
      </x:c>
      <x:c r="C40" s="304" t="str">
        <x:v>끝자락이 걸리다</x:v>
      </x:c>
      <x:c r="D40" s="314" t="str">
        <x:v>100% BLEED</x:v>
      </x:c>
      <x:c r="E40" s="318" t="n">
        <x:v>1000</x:v>
      </x:c>
      <x:c r="F40" s="318" t="n">
        <x:v>0</x:v>
      </x:c>
      <x:c r="G40" s="318" t="n">
        <x:v>0</x:v>
      </x:c>
      <x:c r="H40" s="304" t="str">
        <x:v>24mm VERTICAL 1/3, 원의 가장 바깥 끝자락이 이음매에 걸리는 접점</x:v>
      </x:c>
      <x:c r="I40" s="304" t="str">
        <x:v>끝자락이 관절 외곽 강선 다발에 ‘걸린다’. 칼날이 깊이 박혀 결정을 베는 모습은 금지한다.</x:v>
      </x:c>
      <x:c r="J40" s="304" t="str">
        <x:v>대사 「걸었다… 스위트 스폿!」은 접점 직전 상단 여백에 작게. SFX는 아직 없음.</x:v>
      </x:c>
      <x:c r="K40" s="304" t="str">
        <x:v>끝자락이 강선에 걸리는 작은 금속음과 대사.</x:v>
      </x:c>
      <x:c r="L40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40" s="304" t="str">
        <x:v>낫 끝자락이 이음매에 정확히 걸리는 성공 순간을 본다.</x:v>
      </x:c>
      <x:c r="N40" s="304" t="str">
        <x:v>시그니처 상징의 기원</x:v>
      </x:c>
      <x:c r="O40" s="304" t="str">
        <x:v>독자는 ‘거리 / 박자 / 원’를 설명이 아니라 황혼의 판단 언어로 체화한다.</x:v>
      </x:c>
      <x:c r="P40" s="304" t="str">
        <x:v>스위트 스폿 접촉은 적중 이펙트보다 ‘걸림’ 피드백을 먼저 준다.</x:v>
      </x:c>
      <x:c r="Q40" s="304" t="str">
        <x:v>필수 정보·좌우·거리 판독성 우선 / GLOBAL-VIS-01 / 끝자락이 강선에 걸리며 결정 자체를 베지 않는다.</x:v>
      </x:c>
      <x:c r="R40" s="304" t="str">
        <x:v>정지→거리 측정→도약→시간 지연→완전한 원→부위 파괴의 순서를 명확히 한다. 화려함은 결절과 반경의 판독성을 해치지 않는 범위에서만 허용한다.</x:v>
      </x:c>
      <x:c r="S40" s="323" t="str">
        <x:v>LOCKED_v1</x:v>
      </x:c>
    </x:row>
    <x:row r="41" ht="84" customHeight="1">
      <x:c r="A41" s="312" t="str">
        <x:v>237</x:v>
      </x:c>
      <x:c r="B41" s="304" t="str">
        <x:v>P. 스위트 스폿</x:v>
      </x:c>
      <x:c r="C41" s="304" t="str">
        <x:v>당기는 힘</x:v>
      </x:c>
      <x:c r="D41" s="314" t="str">
        <x:v>100% BLEED</x:v>
      </x:c>
      <x:c r="E41" s="318" t="n">
        <x:v>900</x:v>
      </x:c>
      <x:c r="F41" s="318" t="n">
        <x:v>0</x:v>
      </x:c>
      <x:c r="G41" s="318" t="n">
        <x:v>0</x:v>
      </x:c>
      <x:c r="H41" s="304" t="str">
        <x:v>35mm VERTICAL 2/3, 아인의 몸통 회전과 자루를 당기는 역방향 힘</x:v>
      </x:c>
      <x:c r="I41" s="304" t="str">
        <x:v>아인이 손목만 당기지 않고 허리·등·발을 반대 방향으로 써 자루 전체를 끌어온다. 결정 위치를 피해 힘이 흐른다.</x:v>
      </x:c>
      <x:c r="J41" s="304" t="str">
        <x:v>텍스트 없음. 당기는 호흡만 남긴다.</x:v>
      </x:c>
      <x:c r="K41" s="304" t="str">
        <x:v>자루와 강선이 긴장하는 저음, 아인의 짧은 호흡.</x:v>
      </x:c>
      <x:c r="L41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41" s="304" t="str">
        <x:v>1회독에는 ‘당기는 힘’을 먼저 본다. 결절을 걸어 끊고 온전한 결정을 회수하는 핵심 루프를 학습</x:v>
      </x:c>
      <x:c r="N41" s="304" t="str">
        <x:v>시그니처 상징의 기원</x:v>
      </x:c>
      <x:c r="O41" s="304" t="str">
        <x:v>독자는 ‘선택 / 대가 / 침묵’를 설명이 아니라 황혼의 판단 언어로 체화한다.</x:v>
      </x:c>
      <x:c r="P41" s="304" t="str">
        <x:v>결절 노출·스위트 스폿·부위 파괴·소재 회수</x:v>
      </x:c>
      <x:c r="Q41" s="304" t="str">
        <x:v>필수 정보·좌우·거리 판독성 우선 / GLOBAL-VIS-01 / 당김 방향과 힘 전달 판독.</x:v>
      </x:c>
      <x:c r="R41" s="304" t="str">
        <x:v>정지→거리 측정→도약→시간 지연→완전한 원→부위 파괴의 순서를 명확히 한다. 화려함은 결절과 반경의 판독성을 해치지 않는 범위에서만 허용한다.</x:v>
      </x:c>
      <x:c r="S41" s="323" t="str">
        <x:v>LOCKED_v1</x:v>
      </x:c>
    </x:row>
    <x:row r="42" ht="84" customHeight="1">
      <x:c r="A42" s="312" t="str">
        <x:v>238</x:v>
      </x:c>
      <x:c r="B42" s="304" t="str">
        <x:v>P. 스위트 스폿</x:v>
      </x:c>
      <x:c r="C42" s="304" t="str">
        <x:v>끊어진 관절</x:v>
      </x:c>
      <x:c r="D42" s="314" t="str">
        <x:v>100% BLEED</x:v>
      </x:c>
      <x:c r="E42" s="318" t="n">
        <x:v>2000</x:v>
      </x:c>
      <x:c r="F42" s="318" t="n">
        <x:v>0</x:v>
      </x:c>
      <x:c r="G42" s="318" t="n">
        <x:v>100</x:v>
      </x:c>
      <x:c r="H42" s="304" t="str">
        <x:v>20mm VERTICAL IMPACT 3/3, 강선 다발이 뜯기고 관절이 몸에서 분리되는 결과</x:v>
      </x:c>
      <x:c r="I42" s="304" t="str">
        <x:v>강선만 뜯기고 내부 결정은 충격에서 벗어난 채 남는다. 관절 파괴의 무게와 소재 보존 조건을 동시에 읽히게 한다.</x:v>
      </x:c>
      <x:c r="J42" s="304" t="str">
        <x:v>관절 파단점에 ‘콰드득—!!’을 세로로. 대사는 반복하지 않는다.</x:v>
      </x:c>
      <x:c r="K42" s="304" t="str">
        <x:v>‘콰드득—!!’은 강선 파단과 관절 분리의 층을 나눠 무겁게.</x:v>
      </x:c>
      <x:c r="L42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42" s="304" t="str">
        <x:v>1회독에는 ‘끊어진 관절’을 먼저 본다. 결절을 걸어 끊고 온전한 결정을 회수하는 핵심 루프를 학습</x:v>
      </x:c>
      <x:c r="N42" s="304" t="str">
        <x:v>시그니처 상징의 기원</x:v>
      </x:c>
      <x:c r="O42" s="304" t="str">
        <x:v>독자는 ‘선택 / 대가 / 침묵’를 설명이 아니라 황혼의 판단 언어로 체화한다.</x:v>
      </x:c>
      <x:c r="P42" s="304" t="str">
        <x:v>부위 파괴 성공 시 전투 이점과 소재 보존을 동시에 얻는다.</x:v>
      </x:c>
      <x:c r="Q42" s="304" t="str">
        <x:v>필수 정보·좌우·거리 판독성 우선 / GLOBAL-VIS-01 / 강선은 끊고 결정은 보존. 과도한 피·살점 금지.</x:v>
      </x:c>
      <x:c r="R42" s="304" t="str">
        <x:v>정지→거리 측정→도약→시간 지연→완전한 원→부위 파괴의 순서를 명확히 한다. 화려함은 결절과 반경의 판독성을 해치지 않는 범위에서만 허용한다.</x:v>
      </x:c>
      <x:c r="S42" s="323" t="str">
        <x:v>LOCKED_v1</x:v>
      </x:c>
    </x:row>
    <x:row r="43" ht="84" customHeight="1">
      <x:c r="A43" s="312" t="str">
        <x:v>239</x:v>
      </x:c>
      <x:c r="B43" s="304" t="str">
        <x:v>P. 스위트 스폿</x:v>
      </x:c>
      <x:c r="C43" s="304" t="str">
        <x:v>무게가 떨어지다</x:v>
      </x:c>
      <x:c r="D43" s="314" t="str">
        <x:v>88%</x:v>
      </x:c>
      <x:c r="E43" s="318" t="n">
        <x:v>1100</x:v>
      </x:c>
      <x:c r="F43" s="318" t="n">
        <x:v>40</x:v>
      </x:c>
      <x:c r="G43" s="318" t="n">
        <x:v>70</x:v>
      </x:c>
      <x:c r="H43" s="304" t="str">
        <x:v>28mm WIDE LOW, 뜯긴 팔이 바닥을 찍고 먼지가 일어나는 무게</x:v>
      </x:c>
      <x:c r="I43" s="304" t="str">
        <x:v>팔은 가볍게 날아가지 않고 바닥을 깊게 울린다. 아인과 카인은 팔을 보지 않고 본체 상태를 확인한다.</x:v>
      </x:c>
      <x:c r="J43" s="304" t="str">
        <x:v>낮은 ‘쿵’을 팔이 닿은 바닥에.</x:v>
      </x:c>
      <x:c r="K43" s="304" t="str">
        <x:v>팔의 낮은 ‘쿵’과 먼지.</x:v>
      </x:c>
      <x:c r="L43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43" s="304" t="str">
        <x:v>1회독에는 ‘무게가 떨어지다’을 먼저 본다. 결절을 걸어 끊고 온전한 결정을 회수하는 핵심 루프를 학습</x:v>
      </x:c>
      <x:c r="N43" s="304" t="str">
        <x:v>후속 정보가 생기면 행동·배경의 의미를 재검토</x:v>
      </x:c>
      <x:c r="O43" s="304" t="str">
        <x:v>독자는 ‘선택 / 대가 / 침묵’를 설명이 아니라 황혼의 판단 언어로 체화한다.</x:v>
      </x:c>
      <x:c r="P43" s="304" t="str">
        <x:v>결절 노출·스위트 스폿·부위 파괴·소재 회수</x:v>
      </x:c>
      <x:c r="Q43" s="304" t="str">
        <x:v>GLOBAL-VIS-01</x:v>
      </x:c>
      <x:c r="R43" s="304" t="str">
        <x:v>정지→거리 측정→도약→시간 지연→완전한 원→부위 파괴의 순서를 명확히 한다. 화려함은 결절과 반경의 판독성을 해치지 않는 범위에서만 허용한다.</x:v>
      </x:c>
      <x:c r="S43" s="323" t="str">
        <x:v>LOCKED_v1</x:v>
      </x:c>
    </x:row>
    <x:row r="44" ht="84" customHeight="1">
      <x:c r="A44" s="312" t="str">
        <x:v>240</x:v>
      </x:c>
      <x:c r="B44" s="304" t="str">
        <x:v>P. 스위트 스폿</x:v>
      </x:c>
      <x:c r="C44" s="304" t="str">
        <x:v>열린 단면</x:v>
      </x:c>
      <x:c r="D44" s="314" t="str">
        <x:v>96%</x:v>
      </x:c>
      <x:c r="E44" s="318" t="n">
        <x:v>700</x:v>
      </x:c>
      <x:c r="F44" s="318" t="n">
        <x:v>20</x:v>
      </x:c>
      <x:c r="G44" s="318" t="n">
        <x:v>50</x:v>
      </x:c>
      <x:c r="H44" s="304" t="str">
        <x:v>110mm ECU 1/3, 관절 단면의 층과 끊긴 강선</x:v>
      </x:c>
      <x:c r="I44" s="304" t="str">
        <x:v>단면은 금속 덩어리가 아니라 여러 강선 층과 빈 중계 공간으로 구성된다. 피나 살점처럼 그리지 않는다.</x:v>
      </x:c>
      <x:c r="J44" s="304" t="str">
        <x:v>텍스트 없음.</x:v>
      </x:c>
      <x:c r="K44" s="304" t="str">
        <x:v>잔여 강선의 미세한 수축음.</x:v>
      </x:c>
      <x:c r="L44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44" s="304" t="str">
        <x:v>1회독에는 ‘열린 단면’을 먼저 본다. 결절을 걸어 끊고 온전한 결정을 회수하는 핵심 루프를 학습</x:v>
      </x:c>
      <x:c r="N44" s="304" t="str">
        <x:v>시그니처 상징의 기원</x:v>
      </x:c>
      <x:c r="O44" s="304" t="str">
        <x:v>독자는 ‘선택 / 대가 / 침묵’를 설명이 아니라 황혼의 판단 언어로 체화한다.</x:v>
      </x:c>
      <x:c r="P44" s="304" t="str">
        <x:v>결절 노출·스위트 스폿·부위 파괴·소재 회수</x:v>
      </x:c>
      <x:c r="Q44" s="304" t="str">
        <x:v>GLOBAL-VIS-01</x:v>
      </x:c>
      <x:c r="R44" s="304" t="str">
        <x:v>정지→거리 측정→도약→시간 지연→완전한 원→부위 파괴의 순서를 명확히 한다. 화려함은 결절과 반경의 판독성을 해치지 않는 범위에서만 허용한다.</x:v>
      </x:c>
      <x:c r="S44" s="323" t="str">
        <x:v>LOCKED_v1</x:v>
      </x:c>
    </x:row>
    <x:row r="45" ht="84" customHeight="1">
      <x:c r="A45" s="312" t="str">
        <x:v>241</x:v>
      </x:c>
      <x:c r="B45" s="304" t="str">
        <x:v>P. 스위트 스폿</x:v>
      </x:c>
      <x:c r="C45" s="304" t="str">
        <x:v>굴러나온 것</x:v>
      </x:c>
      <x:c r="D45" s="314" t="str">
        <x:v>96%</x:v>
      </x:c>
      <x:c r="E45" s="318" t="n">
        <x:v>700</x:v>
      </x:c>
      <x:c r="F45" s="318" t="n">
        <x:v>20</x:v>
      </x:c>
      <x:c r="G45" s="318" t="n">
        <x:v>50</x:v>
      </x:c>
      <x:c r="H45" s="304" t="str">
        <x:v>100mm INSERT 2/3, 단면에서 작은 물체가 굴러 나오는 경로</x:v>
      </x:c>
      <x:c r="I45" s="304" t="str">
        <x:v>작은 결정이 단면에서 빠져나와 바닥 경사를 따라 굴러온다. 카메라가 추적하되 보상 이펙트는 없다.</x:v>
      </x:c>
      <x:c r="J45" s="304" t="str">
        <x:v>텍스트 없음. 굴러가는 작은 마찰음만 선택.</x:v>
      </x:c>
      <x:c r="K45" s="304" t="str">
        <x:v>결정이 단면과 바닥에 닿는 작고 단단한 소리.</x:v>
      </x:c>
      <x:c r="L45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45" s="304" t="str">
        <x:v>1회독에는 ‘굴러나온 것’을 먼저 본다. 결절을 걸어 끊고 온전한 결정을 회수하는 핵심 루프를 학습</x:v>
      </x:c>
      <x:c r="N45" s="304" t="str">
        <x:v>시그니처 상징의 기원</x:v>
      </x:c>
      <x:c r="O45" s="304" t="str">
        <x:v>독자는 ‘선택 / 대가 / 침묵’를 설명이 아니라 황혼의 판단 언어로 체화한다.</x:v>
      </x:c>
      <x:c r="P45" s="304" t="str">
        <x:v>결절 노출·스위트 스폿·부위 파괴·소재 회수</x:v>
      </x:c>
      <x:c r="Q45" s="304" t="str">
        <x:v>GLOBAL-VIS-01</x:v>
      </x:c>
      <x:c r="R45" s="304" t="str">
        <x:v>정지→거리 측정→도약→시간 지연→완전한 원→부위 파괴의 순서를 명확히 한다. 화려함은 결절과 반경의 판독성을 해치지 않는 범위에서만 허용한다.</x:v>
      </x:c>
      <x:c r="S45" s="323" t="str">
        <x:v>LOCKED_v1</x:v>
      </x:c>
    </x:row>
    <x:row r="46" ht="84" customHeight="1">
      <x:c r="A46" s="312" t="str">
        <x:v>242</x:v>
      </x:c>
      <x:c r="B46" s="304" t="str">
        <x:v>P. 스위트 스폿</x:v>
      </x:c>
      <x:c r="C46" s="304" t="str">
        <x:v>온전한 결정</x:v>
      </x:c>
      <x:c r="D46" s="314" t="str">
        <x:v>96%</x:v>
      </x:c>
      <x:c r="E46" s="318" t="n">
        <x:v>1000</x:v>
      </x:c>
      <x:c r="F46" s="318" t="n">
        <x:v>10</x:v>
      </x:c>
      <x:c r="G46" s="318" t="n">
        <x:v>120</x:v>
      </x:c>
      <x:c r="H46" s="304" t="str">
        <x:v>130mm ECU 3/3, 엄지손톱 크기 엠버 결정만 화면에</x:v>
      </x:c>
      <x:c r="I46" s="304" t="str">
        <x:v>결정은 엄지손톱 크기, 불규칙한 면, 내부에서만 엠버가 뛰는 물질이다. 보석처럼 반짝이거나 아이템 테두리를 두르지 않는다.</x:v>
      </x:c>
      <x:c r="J46" s="304" t="str">
        <x:v>텍스트 없음. 아이템명·등급·획득 팝업 금지.</x:v>
      </x:c>
      <x:c r="K46" s="304" t="str">
        <x:v>주변을 낮추고 결정 펄스의 거의 들리지 않는 공명만.</x:v>
      </x:c>
      <x:c r="L46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46" s="304" t="str">
        <x:v>부위를 먼저 끊었을 때만 온전한 엠버 결정이 나온다는 보상을 발견한다.</x:v>
      </x:c>
      <x:c r="N46" s="304" t="str">
        <x:v>시그니처 상징의 기원</x:v>
      </x:c>
      <x:c r="O46" s="304" t="str">
        <x:v>독자는 ‘손 / 놓침 / 책임 / 각인’를 설명이 아니라 황혼의 판단 언어로 체화한다.</x:v>
      </x:c>
      <x:c r="P46" s="304" t="str">
        <x:v>온전한 결정은 희귀도 빔이 아니라 물리적 드롭으로 굴러 나온다.</x:v>
      </x:c>
      <x:c r="Q46" s="304" t="str">
        <x:v>GLOBAL-VIS-01 / 결정은 엄지손톱 크기. 아이템 UI·레어도 광선 금지.</x:v>
      </x:c>
      <x:c r="R46" s="304" t="str">
        <x:v>정지→거리 측정→도약→시간 지연→완전한 원→부위 파괴의 순서를 명확히 한다. 화려함은 결절과 반경의 판독성을 해치지 않는 범위에서만 허용한다.</x:v>
      </x:c>
      <x:c r="S46" s="323" t="str">
        <x:v>LOCKED_v1</x:v>
      </x:c>
    </x:row>
    <x:row r="47" ht="84" customHeight="1">
      <x:c r="A47" s="312" t="str">
        <x:v>243</x:v>
      </x:c>
      <x:c r="B47" s="304" t="str">
        <x:v>P. 스위트 스폿</x:v>
      </x:c>
      <x:c r="C47" s="304" t="str">
        <x:v>낫으로 받다</x:v>
      </x:c>
      <x:c r="D47" s="314" t="str">
        <x:v>54%</x:v>
      </x:c>
      <x:c r="E47" s="318" t="n">
        <x:v>650</x:v>
      </x:c>
      <x:c r="F47" s="318" t="n">
        <x:v>20</x:v>
      </x:c>
      <x:c r="G47" s="318" t="n">
        <x:v>50</x:v>
      </x:c>
      <x:c r="H47" s="304" t="str">
        <x:v>110mm ECU 1/2, 낫 끝이 결정을 밀어 손바닥으로 넘기는 정밀 동작</x:v>
      </x:c>
      <x:c r="I47" s="304" t="str">
        <x:v>아인은 손으로 바로 집지 않고 낫 끝으로 먼저 건드린다. 위험 물질을 다루는 습관과 무기 정밀도를 함께 보여준다.</x:v>
      </x:c>
      <x:c r="J47" s="304" t="str">
        <x:v>나레이션 첫 절 「아직 따뜻했고,」를 손바닥 바깥에 작게.</x:v>
      </x:c>
      <x:c r="K47" s="304" t="str">
        <x:v>낫 끝이 결정에 닿는 ‘틱’보다 부드러운 금속 접촉.</x:v>
      </x:c>
      <x:c r="L47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47" s="304" t="str">
        <x:v>1회독에는 ‘낫으로 받다’을 먼저 본다. 결절을 걸어 끊고 온전한 결정을 회수하는 핵심 루프를 학습</x:v>
      </x:c>
      <x:c r="N47" s="304" t="str">
        <x:v>후속 정보가 생기면 행동·배경의 의미를 재검토</x:v>
      </x:c>
      <x:c r="O47" s="304" t="str">
        <x:v>독자는 ‘손 / 놓침 / 책임 / 거리’를 설명이 아니라 황혼의 판단 언어로 체화한다.</x:v>
      </x:c>
      <x:c r="P47" s="304" t="str">
        <x:v>결절 노출·스위트 스폿·부위 파괴·소재 회수</x:v>
      </x:c>
      <x:c r="Q47" s="304" t="str">
        <x:v>GLOBAL-VIS-01 / 결정을 손으로 바로 집지 않는다. 낫 끝으로 먼저 확인.</x:v>
      </x:c>
      <x:c r="R47" s="304" t="str">
        <x:v>정지→거리 측정→도약→시간 지연→완전한 원→부위 파괴의 순서를 명확히 한다. 화려함은 결절과 반경의 판독성을 해치지 않는 범위에서만 허용한다.</x:v>
      </x:c>
      <x:c r="S47" s="323" t="str">
        <x:v>LOCKED_v1</x:v>
      </x:c>
    </x:row>
    <x:row r="48" ht="84" customHeight="1">
      <x:c r="A48" s="312" t="str">
        <x:v>244</x:v>
      </x:c>
      <x:c r="B48" s="304" t="str">
        <x:v>P. 스위트 스폿</x:v>
      </x:c>
      <x:c r="C48" s="304" t="str">
        <x:v>손안에서 뛰다</x:v>
      </x:c>
      <x:c r="D48" s="314" t="str">
        <x:v>54%</x:v>
      </x:c>
      <x:c r="E48" s="318" t="n">
        <x:v>550</x:v>
      </x:c>
      <x:c r="F48" s="318" t="n">
        <x:v>20</x:v>
      </x:c>
      <x:c r="G48" s="318" t="n">
        <x:v>50</x:v>
      </x:c>
      <x:c r="H48" s="304" t="str">
        <x:v>130mm ECU 2/2, 손바닥 피부 위에서 미세하게 뛰는 결정</x:v>
      </x:c>
      <x:c r="I48" s="304" t="str">
        <x:v>결정이 손바닥 피부를 미세하게 밝히고 심장처럼 아주 약하게 뛴다. 손상 치유나 능력 흡수 효과는 발생하지 않는다.</x:v>
      </x:c>
      <x:c r="J48" s="304" t="str">
        <x:v>나레이션 두 번째 「손안에서 희미하게 뛰고 있었다.」를 결정 아래 빈 피부 면에.</x:v>
      </x:c>
      <x:c r="K48" s="304" t="str">
        <x:v>심박과 맞는 작은 공명. 치유음·획득음 금지.</x:v>
      </x:c>
      <x:c r="L48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48" s="304" t="str">
        <x:v>1회독에는 ‘손안에서 뛰다’을 먼저 본다. 결절을 걸어 끊고 온전한 결정을 회수하는 핵심 루프를 학습</x:v>
      </x:c>
      <x:c r="N48" s="304" t="str">
        <x:v>후속 정보가 생기면 행동·배경의 의미를 재검토</x:v>
      </x:c>
      <x:c r="O48" s="304" t="str">
        <x:v>독자는 ‘선택 / 대가 / 침묵’를 설명이 아니라 황혼의 판단 언어로 체화한다.</x:v>
      </x:c>
      <x:c r="P48" s="304" t="str">
        <x:v>결절 노출·스위트 스폿·부위 파괴·소재 회수</x:v>
      </x:c>
      <x:c r="Q48" s="304" t="str">
        <x:v>GLOBAL-VIS-01 / 치유·흡수 효과 금지. 미세한 펄스만.</x:v>
      </x:c>
      <x:c r="R48" s="304" t="str">
        <x:v>정지→거리 측정→도약→시간 지연→완전한 원→부위 파괴의 순서를 명확히 한다. 화려함은 결절과 반경의 판독성을 해치지 않는 범위에서만 허용한다.</x:v>
      </x:c>
      <x:c r="S48" s="323" t="str">
        <x:v>LOCKED_v1</x:v>
      </x:c>
    </x:row>
    <x:row r="49" ht="84" customHeight="1">
      <x:c r="A49" s="312" t="str">
        <x:v>245</x:v>
      </x:c>
      <x:c r="B49" s="304" t="str">
        <x:v>P. 스위트 스폿</x:v>
      </x:c>
      <x:c r="C49" s="304" t="str">
        <x:v>같은 색, 같은 박자</x:v>
      </x:c>
      <x:c r="D49" s="314" t="str">
        <x:v>76% 2단</x:v>
      </x:c>
      <x:c r="E49" s="318" t="n">
        <x:v>2600</x:v>
      </x:c>
      <x:c r="F49" s="318" t="n">
        <x:v>60</x:v>
      </x:c>
      <x:c r="G49" s="318" t="n">
        <x:v>140</x:v>
      </x:c>
      <x:c r="H49" s="304" t="str">
        <x:v>110mm ECU TWO-STACK, 위 손바닥 결정·아래 목덜미 코어를 CUT015와 같은 비율로</x:v>
      </x:c>
      <x:c r="I49" s="304" t="str">
        <x:v>CUT015와 동일한 상하 비율·거리·펄스 타이밍을 재현한다. 결정과 코어가 같은 계통임을 보여주되 원인을 설명하지 않는다.</x:v>
      </x:c>
      <x:c r="J49" s="304" t="str">
        <x:v>텍스트 없음. 동일 펄스가 설명을 대신한다.</x:v>
      </x:c>
      <x:c r="K49" s="304" t="str">
        <x:v>결정과 코어의 펄스가 같은 박자로 두 번. 설명 음악 없음.</x:v>
      </x:c>
      <x:c r="L49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49" s="304" t="str">
        <x:v>1회독에는 ‘같은 색, 같은 박자’을 먼저 본다. 결절을 걸어 끊고 온전한 결정을 회수하는 핵심 루프를 학습</x:v>
      </x:c>
      <x:c r="N49" s="304" t="str">
        <x:v>CUT015와 같은 박자가 코어·결정·등대 공명의 계통을 처음부터 보여 줬음을 후반 진실 뒤에 발견한다.</x:v>
      </x:c>
      <x:c r="O49" s="304" t="str">
        <x:v>독자는 ‘손 / 놓침 / 책임 / 각인’를 설명이 아니라 황혼의 판단 언어로 체화한다.</x:v>
      </x:c>
      <x:c r="P49" s="304" t="str">
        <x:v>결절 노출·스위트 스폿·부위 파괴·소재 회수 / 코어와 드롭 소재의 동일 펄스 피드백</x:v>
      </x:c>
      <x:c r="Q49" s="304" t="str">
        <x:v>지정 컷과 동일 구도 / GLOBAL-VIS-01 / CUT015 동일 2단 구도·색·박자. PUBLIC_CANON 연결이지만 설명 금지.</x:v>
      </x:c>
      <x:c r="R49" s="304" t="str">
        <x:v>정지→거리 측정→도약→시간 지연→완전한 원→부위 파괴의 순서를 명확히 한다. 화려함은 결절과 반경의 판독성을 해치지 않는 범위에서만 허용한다.</x:v>
      </x:c>
      <x:c r="S49" s="323" t="str">
        <x:v>LOCKED_v1</x:v>
      </x:c>
    </x:row>
    <x:row r="50" ht="84" customHeight="1">
      <x:c r="A50" s="312" t="str">
        <x:v>246</x:v>
      </x:c>
      <x:c r="B50" s="304" t="str">
        <x:v>Q. 회수 규칙</x:v>
      </x:c>
      <x:c r="C50" s="304" t="str">
        <x:v>처음 생긴 질문</x:v>
      </x:c>
      <x:c r="D50" s="314" t="str">
        <x:v>64%</x:v>
      </x:c>
      <x:c r="E50" s="318" t="n">
        <x:v>650</x:v>
      </x:c>
      <x:c r="F50" s="318" t="n">
        <x:v>20</x:v>
      </x:c>
      <x:c r="G50" s="318" t="n">
        <x:v>50</x:v>
      </x:c>
      <x:c r="H50" s="304" t="str">
        <x:v>85mm CU, 아인이 결정을 내려다보며 처음 규칙을 추론하는 얼굴</x:v>
      </x:c>
      <x:c r="I50" s="304" t="str">
        <x:v>아인의 시선은 결정 표면에서 뜯긴 관절 단면으로 한 번 이동한다. 질문은 발견의 시작이지 완성된 해설이 아니다.</x:v>
      </x:c>
      <x:c r="J50" s="304" t="str">
        <x:v>아인 말풍선 「…부위를 부숴야만 나오는 거였나.」를 결정 위가 아닌 얼굴 옆에 둔다.</x:v>
      </x:c>
      <x:c r="K50" s="304" t="str">
        <x:v>아인 대사와 낮은 펄스.</x:v>
      </x:c>
      <x:c r="L50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50" s="304" t="str">
        <x:v>1회독에는 ‘처음 생긴 질문’을 먼저 본다. 결절을 걸어 끊고 온전한 결정을 회수하는 핵심 루프를 학습</x:v>
      </x:c>
      <x:c r="N50" s="304" t="str">
        <x:v>처음에는 배경·노이즈로 보인 정보의 의미가 바뀜 PAYOFF: EP23~27: 수확 구조의 의미</x:v>
      </x:c>
      <x:c r="O50" s="304" t="str">
        <x:v>독자는 ‘선택 / 대가 / 침묵’를 설명이 아니라 황혼의 판단 언어로 체화한다.</x:v>
      </x:c>
      <x:c r="P50" s="304" t="str">
        <x:v>결절 노출·스위트 스폿·부위 파괴·소재 회수 / 코어와 드롭 소재의 동일 펄스 피드백</x:v>
      </x:c>
      <x:c r="Q50" s="304" t="str">
        <x:v>복선 강조 금지 / 아인 왼쪽 견갑·오른쪽 건틀릿 좌우 고정 / GLOBAL-VIS-01 / 질문은 가설. 정답 해설 추가 금지.</x:v>
      </x:c>
      <x:c r="R50" s="304" t="str">
        <x:v>정지→거리 측정→도약→시간 지연→완전한 원→부위 파괴의 순서를 명확히 한다. 화려함은 결절과 반경의 판독성을 해치지 않는 범위에서만 허용한다.</x:v>
      </x:c>
      <x:c r="S50" s="323" t="str">
        <x:v>LOCKED_v1</x:v>
      </x:c>
    </x:row>
    <x:row r="51" ht="84" customHeight="1">
      <x:c r="A51" s="325" t="str">
        <x:v>247</x:v>
      </x:c>
      <x:c r="B51" s="326" t="str">
        <x:v>Q. 회수 규칙</x:v>
      </x:c>
      <x:c r="C51" s="326" t="str">
        <x:v>가루만 남은 힘</x:v>
      </x:c>
      <x:c r="D51" s="327" t="str">
        <x:v>64%</x:v>
      </x:c>
      <x:c r="E51" s="328" t="n">
        <x:v>450</x:v>
      </x:c>
      <x:c r="F51" s="328" t="n">
        <x:v>10</x:v>
      </x:c>
      <x:c r="G51" s="328" t="n">
        <x:v>70</x:v>
      </x:c>
      <x:c r="H51" s="326" t="str">
        <x:v>100mm CU/INSERT, 카인이 뒤에서 회색 가루를 쥔 손을 들어 보이는 대비</x:v>
      </x:c>
      <x:c r="I51" s="326" t="str">
        <x:v>카인은 잔해에서 건져 올린 회색 가루를 손바닥에 보여준다. 소설의 ‘…또 가루야’를 사용해 세게 부순 결과와 온전한 결정의 차이를 한 컷으로 대비한다.</x:v>
      </x:c>
      <x:c r="J51" s="326" t="str">
        <x:v>카인의 짧은 말풍선 「…또 가루야.」를 회색 가루 손 위에. 설명 대사 추가 금지.</x:v>
      </x:c>
      <x:c r="K51" s="326" t="str">
        <x:v>카인의 대사, 손바닥에서 회색 가루가 마른 소리를 내며 흘러내린다.</x:v>
      </x:c>
      <x:c r="L51" s="326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51" s="326" t="str">
        <x:v>카인이 같은 적에서 얻은 것은 결정이 아니라 회색 가루뿐임을 비교한다.</x:v>
      </x:c>
      <x:c r="N51" s="326" t="str">
        <x:v>카인의 회색 가루와 아인의 온전한 결정이, 같은 승리라도 회수 가치가 달라지는 조건부 경제를 한 컷에 이미 설명했다는 사실이 보인다.</x:v>
      </x:c>
      <x:c r="O51" s="326" t="str">
        <x:v>독자는 ‘선택 / 대가 / 침묵’를 설명이 아니라 황혼의 판단 언어로 체화한다.</x:v>
      </x:c>
      <x:c r="P51" s="326" t="str">
        <x:v>대검의 과출력 파괴는 회색 가루·낮은 제작 가치로 귀결되어 무기별 회수 성격을 차별화한다.</x:v>
      </x:c>
      <x:c r="Q51" s="326" t="str">
        <x:v>복선 강조 금지 / 아인 왼쪽 견갑·오른쪽 건틀릿 좌우 고정 / GLOBAL-VIS-01 / EDITORIAL_CANON_SPLIT. 회색 가루는 발광하지 않는다. 소설의 ‘…또 가루야.’ 외 설명 대사 금지.</x:v>
      </x:c>
      <x:c r="R51" s="326" t="str">
        <x:v>정지→거리 측정→도약→시간 지연→완전한 원→부위 파괴의 순서를 명확히 한다. 화려함은 결절과 반경의 판독성을 해치지 않는 범위에서만 허용한다.</x:v>
      </x:c>
      <x:c r="S51" s="329" t="str">
        <x:v>LOCKED_v1</x:v>
      </x:c>
    </x:row>
    <x:row r="52" ht="84" customHeight="1">
      <x:c r="A52" s="312" t="str">
        <x:v>248</x:v>
      </x:c>
      <x:c r="B52" s="304" t="str">
        <x:v>Q. 회수 규칙</x:v>
      </x:c>
      <x:c r="C52" s="304" t="str">
        <x:v>결정을 넣다</x:v>
      </x:c>
      <x:c r="D52" s="314" t="str">
        <x:v>72%</x:v>
      </x:c>
      <x:c r="E52" s="318" t="n">
        <x:v>500</x:v>
      </x:c>
      <x:c r="F52" s="318" t="n">
        <x:v>20</x:v>
      </x:c>
      <x:c r="G52" s="318" t="n">
        <x:v>50</x:v>
      </x:c>
      <x:c r="H52" s="304" t="str">
        <x:v>65mm MS 1/2, 아인이 결정을 주머니 안쪽에 넣는 손</x:v>
      </x:c>
      <x:c r="I52" s="304" t="str">
        <x:v>결정은 일반 칩 주머니가 아닌 몸에 가까운 안쪽 주머니에 넣는다. 손동작을 짧게 끝내 보상 감상에 머물지 않는다.</x:v>
      </x:c>
      <x:c r="J52" s="304" t="str">
        <x:v>텍스트 없음.</x:v>
      </x:c>
      <x:c r="K52" s="304" t="str">
        <x:v>천 마찰과 주머니 입구 금속음.</x:v>
      </x:c>
      <x:c r="L52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52" s="304" t="str">
        <x:v>1회독에는 ‘결정을 넣다’을 먼저 본다. 결절을 걸어 끊고 온전한 결정을 회수하는 핵심 루프를 학습</x:v>
      </x:c>
      <x:c r="N52" s="304" t="str">
        <x:v>후속 정보가 생기면 행동·배경의 의미를 재검토</x:v>
      </x:c>
      <x:c r="O52" s="304" t="str">
        <x:v>독자는 ‘선택 / 대가 / 침묵’를 설명이 아니라 황혼의 판단 언어로 체화한다.</x:v>
      </x:c>
      <x:c r="P52" s="304" t="str">
        <x:v>결절 노출·스위트 스폿·부위 파괴·소재 회수</x:v>
      </x:c>
      <x:c r="Q52" s="304" t="str">
        <x:v>GLOBAL-VIS-01 / 결정 보상 포즈 금지.</x:v>
      </x:c>
      <x:c r="R52" s="304" t="str">
        <x:v>정지→거리 측정→도약→시간 지연→완전한 원→부위 파괴의 순서를 명확히 한다. 화려함은 결절과 반경의 판독성을 해치지 않는 범위에서만 허용한다.</x:v>
      </x:c>
      <x:c r="S52" s="323" t="str">
        <x:v>LOCKED_v1</x:v>
      </x:c>
    </x:row>
    <x:row r="53" ht="84" customHeight="1">
      <x:c r="A53" s="312" t="str">
        <x:v>249</x:v>
      </x:c>
      <x:c r="B53" s="304" t="str">
        <x:v>Q. 회수 규칙</x:v>
      </x:c>
      <x:c r="C53" s="304" t="str">
        <x:v>본체가 무너지다</x:v>
      </x:c>
      <x:c r="D53" s="314" t="str">
        <x:v>72%</x:v>
      </x:c>
      <x:c r="E53" s="318" t="n">
        <x:v>700</x:v>
      </x:c>
      <x:c r="F53" s="318" t="n">
        <x:v>5</x:v>
      </x:c>
      <x:c r="G53" s="318" t="n">
        <x:v>90</x:v>
      </x:c>
      <x:c r="H53" s="304" t="str">
        <x:v>28mm WIDE 2/2, 결정이 분리된 뒤 놈의 본체가 무너지는 전경</x:v>
      </x:c>
      <x:c r="I53" s="304" t="str">
        <x:v>본체가 무릎·허리·상체 순으로 무너진다. 결정이 빠진 관절 쪽부터 붕괴가 전파되는 듯 보이지만 정확한 원인은 확정하지 않는다.</x:v>
      </x:c>
      <x:c r="J53" s="304" t="str">
        <x:v>붕괴 순간에만 낮은 ‘쿠웅’. CUT248에는 효과음을 쓰지 않는다.</x:v>
      </x:c>
      <x:c r="K53" s="304" t="str">
        <x:v>본체 붕괴 ‘쿠웅’ 한 번. 보상 팡파르 금지.</x:v>
      </x:c>
      <x:c r="L53" s="304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53" s="304" t="str">
        <x:v>1회독에는 ‘본체가 무너지다’을 먼저 본다. 결절을 걸어 끊고 온전한 결정을 회수하는 핵심 루프를 학습</x:v>
      </x:c>
      <x:c r="N53" s="304" t="str">
        <x:v>후속 정보가 생기면 행동·배경의 의미를 재검토</x:v>
      </x:c>
      <x:c r="O53" s="304" t="str">
        <x:v>독자는 ‘선택 / 대가 / 침묵’를 설명이 아니라 황혼의 판단 언어로 체화한다.</x:v>
      </x:c>
      <x:c r="P53" s="304" t="str">
        <x:v>결절 노출·스위트 스폿·부위 파괴·소재 회수</x:v>
      </x:c>
      <x:c r="Q53" s="304" t="str">
        <x:v>GLOBAL-VIS-01 / 붕괴는 무게감 있게. 승리 이펙트 금지.</x:v>
      </x:c>
      <x:c r="R53" s="304" t="str">
        <x:v>정지→거리 측정→도약→시간 지연→완전한 원→부위 파괴의 순서를 명확히 한다. 화려함은 결절과 반경의 판독성을 해치지 않는 범위에서만 허용한다.</x:v>
      </x:c>
      <x:c r="S53" s="323" t="str">
        <x:v>LOCKED_v1</x:v>
      </x:c>
    </x:row>
    <x:row r="54" ht="84" customHeight="1">
      <x:c r="A54" s="313" t="str">
        <x:v>250</x:v>
      </x:c>
      <x:c r="B54" s="307" t="str">
        <x:v>Q. 회수 규칙</x:v>
      </x:c>
      <x:c r="C54" s="307" t="str">
        <x:v>승리 뒤의 질문</x:v>
      </x:c>
      <x:c r="D54" s="315" t="str">
        <x:v>96%</x:v>
      </x:c>
      <x:c r="E54" s="319" t="n">
        <x:v>1400</x:v>
      </x:c>
      <x:c r="F54" s="319" t="n">
        <x:v>50</x:v>
      </x:c>
      <x:c r="G54" s="319" t="n">
        <x:v>320</x:v>
      </x:c>
      <x:c r="H54" s="307" t="str">
        <x:v>20mm EWIDE, 짚·강선·가루가 남은 조용한 훈련장과 작은 두 사람</x:v>
      </x:c>
      <x:c r="I54" s="307" t="str">
        <x:v>훈련장에 짚, 강선, 회색 가루, 뜯긴 팔이 남는다. 승리 포즈 없이 두 사람은 아주 작게 서 있고, 질문만 공간에 남는다.</x:v>
      </x:c>
      <x:c r="J54" s="307" t="str">
        <x:v>나레이션 「왜 하필 그렇게 되어 있는지는, 아직 아무도 묻지 않았다.」를 컷 하단의 넓은 빈 바닥에 두고 이후 긴 여백.</x:v>
      </x:c>
      <x:c r="K54" s="307" t="str">
        <x:v>잔해가 가라앉는 작은 소리 후 긴 무음.</x:v>
      </x:c>
      <x:c r="L54" s="307" t="str">
        <x:v>놈 내부의 엠버가 유일한 주광원이다. 아래에서 위로 빛이 올라가 벽과 천장에 긴 그림자를 만들며, 아인·카인의 코어와 무기 잔광도 같은 엠버 계열만 사용한다. 청록 금지.</x:v>
      </x:c>
      <x:c r="M54" s="307" t="str">
        <x:v>1회독에는 ‘승리 뒤의 질문’을 먼저 본다. 결절을 걸어 끊고 온전한 결정을 회수하는 핵심 루프를 학습</x:v>
      </x:c>
      <x:c r="N54" s="307" t="str">
        <x:v>‘왜 이렇게 되어 있는가’라는 질문은 후반 수확 구조에서 의미가 바뀌지만, 이 장면의 모든 세부를 하나의 정답으로 환원할 필요는 없다.</x:v>
      </x:c>
      <x:c r="O54" s="307" t="str">
        <x:v>독자는 ‘선택 / 대가 / 침묵’를 설명이 아니라 황혼의 판단 언어로 체화한다.</x:v>
      </x:c>
      <x:c r="P54" s="307" t="str">
        <x:v>전투 종료 후에도 ‘왜 이 구조인가’는 도감 정답으로 즉시 닫지 않는다.</x:v>
      </x:c>
      <x:c r="Q54" s="307" t="str">
        <x:v>GLOBAL-VIS-01 / 승리 포즈·보스 클리어 UI 금지. ‘왜’의 공식 답을 이 컷에서 주지 않는다.</x:v>
      </x:c>
      <x:c r="R54" s="307" t="str">
        <x:v>정지→거리 측정→도약→시간 지연→완전한 원→부위 파괴의 순서를 명확히 한다. 화려함은 결절과 반경의 판독성을 해치지 않는 범위에서만 허용한다.</x:v>
      </x:c>
      <x:c r="S54" s="324" t="str">
        <x:v>LOCKED_v1</x:v>
      </x:c>
    </x:row>
    <x:row r="55" ht="22.5" customHeight="1">
      <x:c r="A55" s="311" t="str">
        <x:v>TOTAL / ESTIMATED SCROLL</x:v>
      </x:c>
      <x:c r="B55" s="311"/>
      <x:c r="C55" s="311"/>
      <x:c r="D55" s="311"/>
      <x:c r="E55" s="320" t="n">
        <x:f>SUM(E5:E54)</x:f>
        <x:v>60954</x:v>
      </x:c>
      <x:c r="F55" s="320" t="n">
        <x:f>SUM(F5:F54)</x:f>
        <x:v>1125</x:v>
      </x:c>
      <x:c r="G55" s="320" t="n">
        <x:f>SUM(G5:G54)</x:f>
        <x:v>3515</x:v>
      </x:c>
      <x:c r="H55" s="311" t="str">
        <x:v>예상 총 세로합</x:v>
      </x:c>
      <x:c r="I55" s="311" t="n">
        <x:f>E55+F55+G55</x:f>
        <x:v>65594</x:v>
      </x:c>
      <x:c r="J55" s="311"/>
      <x:c r="K55" s="311"/>
      <x:c r="L55" s="311"/>
      <x:c r="M55" s="311"/>
      <x:c r="N55" s="311"/>
      <x:c r="O55" s="311"/>
      <x:c r="P55" s="311"/>
      <x:c r="Q55" s="311"/>
      <x:c r="R55" s="311"/>
      <x:c r="S55" s="311"/>
    </x:row>
  </x:sheetData>
  <x:mergeCells>
    <x:mergeCell ref="A1:S1"/>
    <x:mergeCell ref="A2:S2"/>
    <x:mergeCell ref="A55:D55"/>
  </x:mergeCells>
  <x:conditionalFormatting sqref="A5:S54">
    <x:cfRule type="expression" dxfId="18" priority="1">
      <x:formula>MOD(ROW(),2)=0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26" hidden="0" customWidth="1"/>
    <x:col min="4" max="4" width="13" hidden="0" customWidth="1"/>
    <x:col min="5" max="5" width="14" hidden="0" customWidth="1"/>
    <x:col min="6" max="6" width="14" hidden="0" customWidth="1"/>
    <x:col min="7" max="7" width="17" hidden="0" customWidth="1"/>
    <x:col min="8" max="8" width="32" hidden="0" customWidth="1"/>
    <x:col min="9" max="9" width="48" hidden="0" customWidth="1"/>
    <x:col min="10" max="10" width="42" hidden="0" customWidth="1"/>
    <x:col min="11" max="11" width="32" hidden="0" customWidth="1"/>
    <x:col min="12" max="12" width="34" hidden="0" customWidth="1"/>
    <x:col min="13" max="13" width="38" hidden="0" customWidth="1"/>
    <x:col min="14" max="14" width="42" hidden="0" customWidth="1"/>
    <x:col min="15" max="15" width="42" hidden="0" customWidth="1"/>
    <x:col min="16" max="16" width="42" hidden="0" customWidth="1"/>
    <x:col min="17" max="17" width="50" hidden="0" customWidth="1"/>
    <x:col min="18" max="18" width="44" hidden="0" customWidth="1"/>
    <x:col min="19" max="19" width="15" hidden="0" customWidth="1"/>
  </x:cols>
  <x:sheetData>
    <x:row r="1" ht="25.5" customHeight="1">
      <x:c r="A1" s="270" t="str">
        <x:v>EP01 CUT251–282 — 실제 연재 구현 v1.0</x:v>
      </x:c>
      <x:c r="B1" s="270"/>
      <x:c r="C1" s="270"/>
      <x:c r="D1" s="270"/>
      <x:c r="E1" s="270"/>
      <x:c r="F1" s="270"/>
      <x:c r="G1" s="270"/>
      <x:c r="H1" s="270"/>
      <x:c r="I1" s="270"/>
      <x:c r="J1" s="270"/>
      <x:c r="K1" s="270"/>
      <x:c r="L1" s="270"/>
      <x:c r="M1" s="270"/>
      <x:c r="N1" s="270"/>
      <x:c r="O1" s="270"/>
      <x:c r="P1" s="270"/>
      <x:c r="Q1" s="270"/>
      <x:c r="R1" s="270"/>
      <x:c r="S1" s="270"/>
    </x:row>
    <x:row r="2" ht="33" customHeight="1">
      <x:c r="A2" s="275" t="str">
        <x:v>용병단 합격 → 30만 원 공제 개그 → 받을 사람 없는 손실 장부 → 2년치 기록 → 출격문 → 남은 상처 → 놓치지 않겠다는 대사 → 반보 뒤와 C·C → 붉은 안개. 원본 32컷 유지.</x:v>
      </x:c>
      <x:c r="B2" s="275"/>
      <x:c r="C2" s="275"/>
      <x:c r="D2" s="275"/>
      <x:c r="E2" s="275"/>
      <x:c r="F2" s="275"/>
      <x:c r="G2" s="275"/>
      <x:c r="H2" s="275"/>
      <x:c r="I2" s="275"/>
      <x:c r="J2" s="275"/>
      <x:c r="K2" s="275"/>
      <x:c r="L2" s="275"/>
      <x:c r="M2" s="275"/>
      <x:c r="N2" s="275"/>
      <x:c r="O2" s="275"/>
      <x:c r="P2" s="275"/>
      <x:c r="Q2" s="275"/>
      <x:c r="R2" s="275"/>
      <x:c r="S2" s="275"/>
    </x:row>
    <x:row r="3" ht="7.5" customHeight="1"/>
    <x:row r="4" ht="36" customHeight="1">
      <x:c r="A4" s="287" t="str">
        <x:v>CUT_ID</x:v>
      </x:c>
      <x:c r="B4" s="288" t="str">
        <x:v>BEAT</x:v>
      </x:c>
      <x:c r="C4" s="288" t="str">
        <x:v>PANEL_ROLE</x:v>
      </x:c>
      <x:c r="D4" s="288" t="str">
        <x:v>WIDTH_CLASS</x:v>
      </x:c>
      <x:c r="E4" s="288" t="str">
        <x:v>SOURCE_HEIGHT_PX</x:v>
      </x:c>
      <x:c r="F4" s="288" t="str">
        <x:v>TOP_GUTTER_PX</x:v>
      </x:c>
      <x:c r="G4" s="288" t="str">
        <x:v>BOTTOM_GUTTER_PX</x:v>
      </x:c>
      <x:c r="H4" s="288" t="str">
        <x:v>CAMERA</x:v>
      </x:c>
      <x:c r="I4" s="288" t="str">
        <x:v>ACTION_COMPOSITION</x:v>
      </x:c>
      <x:c r="J4" s="288" t="str">
        <x:v>TEXT_LAYOUT</x:v>
      </x:c>
      <x:c r="K4" s="288" t="str">
        <x:v>SFX_AUDIO</x:v>
      </x:c>
      <x:c r="L4" s="288" t="str">
        <x:v>COLOR_LIGHT</x:v>
      </x:c>
      <x:c r="M4" s="288" t="str">
        <x:v>FIRST_READ</x:v>
      </x:c>
      <x:c r="N4" s="288" t="str">
        <x:v>THIRD_READ</x:v>
      </x:c>
      <x:c r="O4" s="288" t="str">
        <x:v>FIFTH_READ</x:v>
      </x:c>
      <x:c r="P4" s="288" t="str">
        <x:v>GAME_ECHO</x:v>
      </x:c>
      <x:c r="Q4" s="288" t="str">
        <x:v>PRODUCTION_LOCK</x:v>
      </x:c>
      <x:c r="R4" s="288" t="str">
        <x:v>BENCHMARK_BALANCE</x:v>
      </x:c>
      <x:c r="S4" s="289" t="str">
        <x:v>STATUS</x:v>
      </x:c>
    </x:row>
    <x:row r="5" ht="84" customHeight="1">
      <x:c r="A5" s="312" t="str">
        <x:v>251</x:v>
      </x:c>
      <x:c r="B5" s="304" t="str">
        <x:v>R. 합격과 공제</x:v>
      </x:c>
      <x:c r="C5" s="304" t="str">
        <x:v>관측창이 열리다</x:v>
      </x:c>
      <x:c r="D5" s="314" t="str">
        <x:v>72%</x:v>
      </x:c>
      <x:c r="E5" s="318" t="n">
        <x:v>430</x:v>
      </x:c>
      <x:c r="F5" s="318" t="n">
        <x:v>30</x:v>
      </x:c>
      <x:c r="G5" s="318" t="n">
        <x:v>15</x:v>
      </x:c>
      <x:c r="H5" s="304" t="str">
        <x:v>50mm MS, 관측창 문이 프레임 안쪽으로 거칠게 열리는 순간</x:v>
      </x:c>
      <x:c r="I5" s="304" t="str">
        <x:v>문이 안쪽으로 열리며 관측창 냉백이 엠버 훈련장에 칼처럼 들어온다. 마태오는 급해 보이지만 넘어지거나 소리치지 않는다.</x:v>
      </x:c>
      <x:c r="J5" s="304" t="str">
        <x:v>문에 ‘쾅’. 인물 대사는 다음 컷으로 넘긴다.</x:v>
      </x:c>
      <x:c r="K5" s="304" t="str">
        <x:v>문 ‘쾅’과 빠른 발소리.</x:v>
      </x:c>
      <x:c r="L5" s="304" t="str">
        <x:v>훈련장에 남은 엠버 잔광과 관측창의 냉백이 섞이지만, 인물 표정에는 과장된 감정색을 더하지 않는다.</x:v>
      </x:c>
      <x:c r="M5" s="304" t="str">
        <x:v>1회독에는 ‘관측창이 열리다’을 먼저 본다. 승리 직후 생활비·농담·관계의 온도로 긴장을 착지</x:v>
      </x:c>
      <x:c r="N5" s="304" t="str">
        <x:v>후속 정보가 생기면 행동·배경의 의미를 재검토</x:v>
      </x:c>
      <x:c r="O5" s="304" t="str">
        <x:v>독자는 ‘생활비 / 농담 / 손실’를 설명이 아니라 황혼의 판단 언어로 체화한다.</x:v>
      </x:c>
      <x:c r="P5" s="304" t="str">
        <x:v>전투 후 대화·생활비 정산</x:v>
      </x:c>
      <x:c r="Q5" s="304" t="str">
        <x:v>GLOBAL-VIS-01 / 마태오 담배 불 없음.</x:v>
      </x:c>
      <x:c r="R5" s="304" t="str">
        <x:v>생활형 개그 뒤에 장부의 침묵을 붙이고, 승리의 비용을 허브 경제로 되돌린다. 출격은 장엄하되 영웅 보상처럼 만들지 않고 상처·빚·C 표식을 그대로 지닌 채 다음 전장으로 넘어간다.</x:v>
      </x:c>
      <x:c r="S5" s="323" t="str">
        <x:v>LOCKED_v1</x:v>
      </x:c>
    </x:row>
    <x:row r="6" ht="84" customHeight="1">
      <x:c r="A6" s="312" t="str">
        <x:v>252</x:v>
      </x:c>
      <x:c r="B6" s="304" t="str">
        <x:v>R. 합격과 공제</x:v>
      </x:c>
      <x:c r="C6" s="304" t="str">
        <x:v>신입 합격</x:v>
      </x:c>
      <x:c r="D6" s="314" t="str">
        <x:v>72%</x:v>
      </x:c>
      <x:c r="E6" s="318" t="n">
        <x:v>250</x:v>
      </x:c>
      <x:c r="F6" s="318" t="n">
        <x:v>20</x:v>
      </x:c>
      <x:c r="G6" s="318" t="n">
        <x:v>50</x:v>
      </x:c>
      <x:c r="H6" s="304" t="str">
        <x:v>55mm MS 1/2, 마태오가 잔해 사이로 걸어 들어오며 첫 판정</x:v>
      </x:c>
      <x:c r="I6" s="304" t="str">
        <x:v>마태오는 두 사람을 번갈아 보지 않고 잔해 사이를 지나며 ‘합격’을 먼저 말한다. 말풍선은 인물 위보다 진행 방향 앞에 둔다.</x:v>
      </x:c>
      <x:c r="J6" s="304" t="str">
        <x:v>말풍선 첫 부분 「…합격이다. 신입들.」을 마태오 진행 방향 앞에.</x:v>
      </x:c>
      <x:c r="K6" s="304" t="str">
        <x:v>마태오 대사와 잔해를 밟는 소리.</x:v>
      </x:c>
      <x:c r="L6" s="304" t="str">
        <x:v>훈련장에 남은 엠버 잔광과 관측창의 냉백이 섞이지만, 인물 표정에는 과장된 감정색을 더하지 않는다.</x:v>
      </x:c>
      <x:c r="M6" s="304" t="str">
        <x:v>1회독에는 ‘신입 합격’을 먼저 본다. 승리 직후 생활비·농담·관계의 온도로 긴장을 착지</x:v>
      </x:c>
      <x:c r="N6" s="304" t="str">
        <x:v>후속 정보가 생기면 행동·배경의 의미를 재검토</x:v>
      </x:c>
      <x:c r="O6" s="304" t="str">
        <x:v>독자는 ‘생활비 / 농담 / 손실’를 설명이 아니라 황혼의 판단 언어로 체화한다.</x:v>
      </x:c>
      <x:c r="P6" s="304" t="str">
        <x:v>전투 후 대화·생활비 정산</x:v>
      </x:c>
      <x:c r="Q6" s="304" t="str">
        <x:v>GLOBAL-VIS-01 / 마태오 담배 불 없음. 말은 건조하게.</x:v>
      </x:c>
      <x:c r="R6" s="304" t="str">
        <x:v>생활형 개그 뒤에 장부의 침묵을 붙이고, 승리의 비용을 허브 경제로 되돌린다. 출격은 장엄하되 영웅 보상처럼 만들지 않고 상처·빚·C 표식을 그대로 지닌 채 다음 전장으로 넘어간다.</x:v>
      </x:c>
      <x:c r="S6" s="323" t="str">
        <x:v>LOCKED_v1</x:v>
      </x:c>
    </x:row>
    <x:row r="7" ht="84" customHeight="1">
      <x:c r="A7" s="312" t="str">
        <x:v>253</x:v>
      </x:c>
      <x:c r="B7" s="304" t="str">
        <x:v>R. 합격과 공제</x:v>
      </x:c>
      <x:c r="C7" s="304" t="str">
        <x:v>용병단이라는 수정</x:v>
      </x:c>
      <x:c r="D7" s="314" t="str">
        <x:v>72%</x:v>
      </x:c>
      <x:c r="E7" s="318" t="n">
        <x:v>180</x:v>
      </x:c>
      <x:c r="F7" s="318" t="n">
        <x:v>20</x:v>
      </x:c>
      <x:c r="G7" s="318" t="n">
        <x:v>50</x:v>
      </x:c>
      <x:c r="H7" s="304" t="str">
        <x:v>110mm ECU 2/2, 불붙지 않은 담배와 ‘용병단’으로 고쳐 말하는 입</x:v>
      </x:c>
      <x:c r="I7" s="304" t="str">
        <x:v>그가 ‘신입들’에서 짧게 멈추고 ‘용병단’으로 고쳐 말한다. 담배 끝은 여전히 어둡고, 작은 수정이 관계의 공식화를 대신한다.</x:v>
      </x:c>
      <x:c r="J7" s="304" t="str">
        <x:v>짧은 정지 뒤 작은 연결 말풍선 「아니— 용병단.」</x:v>
      </x:c>
      <x:c r="K7" s="304" t="str">
        <x:v>‘아니—’ 뒤 짧은 정지, ‘용병단.’은 더 낮게. 담배는 무음.</x:v>
      </x:c>
      <x:c r="L7" s="304" t="str">
        <x:v>훈련장에 남은 엠버 잔광과 관측창의 냉백이 섞이지만, 인물 표정에는 과장된 감정색을 더하지 않는다.</x:v>
      </x:c>
      <x:c r="M7" s="304" t="str">
        <x:v>1회독에는 ‘용병단이라는 수정’을 먼저 본다. 승리 직후 생활비·농담·관계의 온도로 긴장을 착지</x:v>
      </x:c>
      <x:c r="N7" s="304" t="str">
        <x:v>후속 정보가 생기면 행동·배경의 의미를 재검토</x:v>
      </x:c>
      <x:c r="O7" s="304" t="str">
        <x:v>독자는 ‘생활비 / 농담 / 손실’를 설명이 아니라 황혼의 판단 언어로 체화한다.</x:v>
      </x:c>
      <x:c r="P7" s="304" t="str">
        <x:v>전투 후 대화·생활비 정산</x:v>
      </x:c>
      <x:c r="Q7" s="304" t="str">
        <x:v>GLOBAL-VIS-01 / ‘용병단’ 수정은 작게. 과도한 감동 연출 금지.</x:v>
      </x:c>
      <x:c r="R7" s="304" t="str">
        <x:v>생활형 개그 뒤에 장부의 침묵을 붙이고, 승리의 비용을 허브 경제로 되돌린다. 출격은 장엄하되 영웅 보상처럼 만들지 않고 상처·빚·C 표식을 그대로 지닌 채 다음 전장으로 넘어간다.</x:v>
      </x:c>
      <x:c r="S7" s="323" t="str">
        <x:v>LOCKED_v1</x:v>
      </x:c>
    </x:row>
    <x:row r="8" ht="84" customHeight="1">
      <x:c r="A8" s="312" t="str">
        <x:v>254</x:v>
      </x:c>
      <x:c r="B8" s="304" t="str">
        <x:v>R. 합격과 공제</x:v>
      </x:c>
      <x:c r="C8" s="304" t="str">
        <x:v>잔해를 보는 눈</x:v>
      </x:c>
      <x:c r="D8" s="314" t="str">
        <x:v>72%</x:v>
      </x:c>
      <x:c r="E8" s="318" t="n">
        <x:v>430</x:v>
      </x:c>
      <x:c r="F8" s="318" t="n">
        <x:v>20</x:v>
      </x:c>
      <x:c r="G8" s="318" t="n">
        <x:v>50</x:v>
      </x:c>
      <x:c r="H8" s="304" t="str">
        <x:v>55mm MS, 마태오의 시선과 잔해·뜯긴 팔이 같은 프레임에</x:v>
      </x:c>
      <x:c r="I8" s="304" t="str">
        <x:v>마태오는 뜯긴 팔·파괴된 짚단·바닥 문양 흔적을 한 번에 본다. 무엇을 알아챘는지 표정으로 답하지 않는다.</x:v>
      </x:c>
      <x:c r="J8" s="304" t="str">
        <x:v>텍스트 없음.</x:v>
      </x:c>
      <x:c r="K8" s="304" t="str">
        <x:v>발이 멎고 잔해에서 작은 금속음.</x:v>
      </x:c>
      <x:c r="L8" s="304" t="str">
        <x:v>훈련장에 남은 엠버 잔광과 관측창의 냉백이 섞이지만, 인물 표정에는 과장된 감정색을 더하지 않는다.</x:v>
      </x:c>
      <x:c r="M8" s="304" t="str">
        <x:v>1회독에는 ‘잔해를 보는 눈’을 먼저 본다. 승리 직후 생활비·농담·관계의 온도로 긴장을 착지</x:v>
      </x:c>
      <x:c r="N8" s="304" t="str">
        <x:v>후속 정보가 생기면 행동·배경의 의미를 재검토</x:v>
      </x:c>
      <x:c r="O8" s="304" t="str">
        <x:v>독자는 ‘생활비 / 농담 / 손실’를 설명이 아니라 황혼의 판단 언어로 체화한다.</x:v>
      </x:c>
      <x:c r="P8" s="304" t="str">
        <x:v>전투 후 대화·생활비 정산</x:v>
      </x:c>
      <x:c r="Q8" s="304" t="str">
        <x:v>GLOBAL-VIS-01</x:v>
      </x:c>
      <x:c r="R8" s="304" t="str">
        <x:v>생활형 개그 뒤에 장부의 침묵을 붙이고, 승리의 비용을 허브 경제로 되돌린다. 출격은 장엄하되 영웅 보상처럼 만들지 않고 상처·빚·C 표식을 그대로 지닌 채 다음 전장으로 넘어간다.</x:v>
      </x:c>
      <x:c r="S8" s="323" t="str">
        <x:v>LOCKED_v1</x:v>
      </x:c>
    </x:row>
    <x:row r="9" ht="84" customHeight="1">
      <x:c r="A9" s="312" t="str">
        <x:v>255</x:v>
      </x:c>
      <x:c r="B9" s="304" t="str">
        <x:v>R. 합격과 공제</x:v>
      </x:c>
      <x:c r="C9" s="304" t="str">
        <x:v>계산이 바뀌는 얼굴</x:v>
      </x:c>
      <x:c r="D9" s="314" t="str">
        <x:v>64%</x:v>
      </x:c>
      <x:c r="E9" s="318" t="n">
        <x:v>430</x:v>
      </x:c>
      <x:c r="F9" s="318" t="n">
        <x:v>20</x:v>
      </x:c>
      <x:c r="G9" s="318" t="n">
        <x:v>80</x:v>
      </x:c>
      <x:c r="H9" s="304" t="str">
        <x:v>100mm CU, 눈썹·입꼬리·턱이 아주 천천히 바뀌는 연속 반응</x:v>
      </x:c>
      <x:c r="I9" s="304" t="str">
        <x:v>처음에는 안도처럼 보일 수 있고, 다음에는 비용 계산처럼 보일 수 있는 미세한 변화만 둔다. 감정명·땀방울·코믹 음영을 금지한다.</x:v>
      </x:c>
      <x:c r="J9" s="304" t="str">
        <x:v>텍스트 없음. 감정명을 붙이는 캡션 금지.</x:v>
      </x:c>
      <x:c r="K9" s="304" t="str">
        <x:v>무음. 표정 변화에 효과음 금지.</x:v>
      </x:c>
      <x:c r="L9" s="304" t="str">
        <x:v>훈련장에 남은 엠버 잔광과 관측창의 냉백이 섞이지만, 인물 표정에는 과장된 감정색을 더하지 않는다.</x:v>
      </x:c>
      <x:c r="M9" s="304" t="str">
        <x:v>1회독에는 ‘계산이 바뀌는 얼굴’을 먼저 본다. 승리 직후 생활비·농담·관계의 온도로 긴장을 착지</x:v>
      </x:c>
      <x:c r="N9" s="304" t="str">
        <x:v>표정 변화가 안도·놀람·손실 계산 중 어느 하나였는지 독자마다 다르게 남으며, 다음 장부 행동이 의미를 다시 배치한다.</x:v>
      </x:c>
      <x:c r="O9" s="304" t="str">
        <x:v>독자는 ‘생활비 / 농담 / 손실’를 설명이 아니라 황혼의 판단 언어로 체화한다.</x:v>
      </x:c>
      <x:c r="P9" s="304" t="str">
        <x:v>전투 후 대화·생활비 정산</x:v>
      </x:c>
      <x:c r="Q9" s="304" t="str">
        <x:v>대사 금지 또는 응답 없는 침묵 유지 / GLOBAL-VIS-01 / 감정 명명 금지. 땀·눈물·코믹 음영 금지.</x:v>
      </x:c>
      <x:c r="R9" s="304" t="str">
        <x:v>생활형 개그 뒤에 장부의 침묵을 붙이고, 승리의 비용을 허브 경제로 되돌린다. 출격은 장엄하되 영웅 보상처럼 만들지 않고 상처·빚·C 표식을 그대로 지닌 채 다음 전장으로 넘어간다.</x:v>
      </x:c>
      <x:c r="S9" s="323" t="str">
        <x:v>LOCKED_v1</x:v>
      </x:c>
    </x:row>
    <x:row r="10" ht="84" customHeight="1">
      <x:c r="A10" s="312" t="str">
        <x:v>256</x:v>
      </x:c>
      <x:c r="B10" s="304" t="str">
        <x:v>R. 합격과 공제</x:v>
      </x:c>
      <x:c r="C10" s="304" t="str">
        <x:v>첫 의뢰비에서</x:v>
      </x:c>
      <x:c r="D10" s="314" t="str">
        <x:v>72%</x:v>
      </x:c>
      <x:c r="E10" s="318" t="n">
        <x:v>430</x:v>
      </x:c>
      <x:c r="F10" s="318" t="n">
        <x:v>20</x:v>
      </x:c>
      <x:c r="G10" s="318" t="n">
        <x:v>50</x:v>
      </x:c>
      <x:c r="H10" s="304" t="str">
        <x:v>65mm MS REAR, 돌아서는 마태오의 등과 뒤에 남은 둘</x:v>
      </x:c>
      <x:c r="I10" s="304" t="str">
        <x:v>마태오는 돌아선 뒤에야 30만 원을 말한다. 긴 대사는 두 개의 연결 말풍선으로 나눠 첫 문장과 공제 문장 사이에 작은 간격을 둔다.</x:v>
      </x:c>
      <x:c r="J10" s="304" t="str">
        <x:v>긴 대사는 연결 말풍선 두 개로 나눈다. 「…그건 그렇고. 저 훈련용 허수아비, 30만 원짜리다.」 / 「첫 의뢰비에서 깐다.」</x:v>
      </x:c>
      <x:c r="K10" s="304" t="str">
        <x:v>대사만 건조하게. 코믹 효과음 금지.</x:v>
      </x:c>
      <x:c r="L10" s="304" t="str">
        <x:v>훈련장에 남은 엠버 잔광과 관측창의 냉백이 섞이지만, 인물 표정에는 과장된 감정색을 더하지 않는다.</x:v>
      </x:c>
      <x:c r="M10" s="304" t="str">
        <x:v>1회독에는 ‘첫 의뢰비에서’을 먼저 본다. 승리 직후 생활비·농담·관계의 온도로 긴장을 착지</x:v>
      </x:c>
      <x:c r="N10" s="304" t="str">
        <x:v>후속 정보가 생기면 행동·배경의 의미를 재검토</x:v>
      </x:c>
      <x:c r="O10" s="304" t="str">
        <x:v>독자는 ‘생활비 / 농담 / 손실’를 설명이 아니라 황혼의 판단 언어로 체화한다.</x:v>
      </x:c>
      <x:c r="P10" s="304" t="str">
        <x:v>전투 후 대화·생활비 정산</x:v>
      </x:c>
      <x:c r="Q10" s="304" t="str">
        <x:v>GLOBAL-VIS-01 / 30만 원 공제는 표면 대사. 실제 장부 처리와 모순되지 않게 연출.</x:v>
      </x:c>
      <x:c r="R10" s="304" t="str">
        <x:v>생활형 개그 뒤에 장부의 침묵을 붙이고, 승리의 비용을 허브 경제로 되돌린다. 출격은 장엄하되 영웅 보상처럼 만들지 않고 상처·빚·C 표식을 그대로 지닌 채 다음 전장으로 넘어간다.</x:v>
      </x:c>
      <x:c r="S10" s="323" t="str">
        <x:v>LOCKED_v1</x:v>
      </x:c>
    </x:row>
    <x:row r="11" ht="84" customHeight="1">
      <x:c r="A11" s="312" t="str">
        <x:v>257</x:v>
      </x:c>
      <x:c r="B11" s="304" t="str">
        <x:v>R. 합격과 공제</x:v>
      </x:c>
      <x:c r="C11" s="304" t="str">
        <x:v>등만 남긴 판정</x:v>
      </x:c>
      <x:c r="D11" s="314" t="str">
        <x:v>88%</x:v>
      </x:c>
      <x:c r="E11" s="318" t="n">
        <x:v>470</x:v>
      </x:c>
      <x:c r="F11" s="318" t="n">
        <x:v>20</x:v>
      </x:c>
      <x:c r="G11" s="318" t="n">
        <x:v>100</x:v>
      </x:c>
      <x:c r="H11" s="304" t="str">
        <x:v>28mm WIDE, 마태오가 문 밖으로 사라지고 잔해와 둘만 남는 공간</x:v>
      </x:c>
      <x:c r="I11" s="304" t="str">
        <x:v>그는 설명을 듣지 않고 나간다. 프레임에 남는 것은 카인·아인·잔해이며, 마태오의 등은 문에서 잘린다.</x:v>
      </x:c>
      <x:c r="J11" s="304" t="str">
        <x:v>텍스트 없음.</x:v>
      </x:c>
      <x:c r="K11" s="304" t="str">
        <x:v>멀어지는 발소리와 문 경첩.</x:v>
      </x:c>
      <x:c r="L11" s="304" t="str">
        <x:v>훈련장에 남은 엠버 잔광과 관측창의 냉백이 섞이지만, 인물 표정에는 과장된 감정색을 더하지 않는다.</x:v>
      </x:c>
      <x:c r="M11" s="304" t="str">
        <x:v>1회독에는 ‘등만 남긴 판정’을 먼저 본다. 승리 직후 생활비·농담·관계의 온도로 긴장을 착지</x:v>
      </x:c>
      <x:c r="N11" s="304" t="str">
        <x:v>후속 정보가 생기면 행동·배경의 의미를 재검토</x:v>
      </x:c>
      <x:c r="O11" s="304" t="str">
        <x:v>독자는 ‘생활비 / 농담 / 손실’를 설명이 아니라 황혼의 판단 언어로 체화한다.</x:v>
      </x:c>
      <x:c r="P11" s="304" t="str">
        <x:v>전투 후 대화·생활비 정산</x:v>
      </x:c>
      <x:c r="Q11" s="304" t="str">
        <x:v>GLOBAL-VIS-01</x:v>
      </x:c>
      <x:c r="R11" s="304" t="str">
        <x:v>생활형 개그 뒤에 장부의 침묵을 붙이고, 승리의 비용을 허브 경제로 되돌린다. 출격은 장엄하되 영웅 보상처럼 만들지 않고 상처·빚·C 표식을 그대로 지닌 채 다음 전장으로 넘어간다.</x:v>
      </x:c>
      <x:c r="S11" s="323" t="str">
        <x:v>LOCKED_v1</x:v>
      </x:c>
    </x:row>
    <x:row r="12" ht="84" customHeight="1">
      <x:c r="A12" s="312" t="str">
        <x:v>258</x:v>
      </x:c>
      <x:c r="B12" s="304" t="str">
        <x:v>R. 합격과 공제</x:v>
      </x:c>
      <x:c r="C12" s="304" t="str">
        <x:v>억울함의 시작</x:v>
      </x:c>
      <x:c r="D12" s="314" t="str">
        <x:v>64%</x:v>
      </x:c>
      <x:c r="E12" s="318" t="n">
        <x:v>400</x:v>
      </x:c>
      <x:c r="F12" s="318" t="n">
        <x:v>10</x:v>
      </x:c>
      <x:c r="G12" s="318" t="n">
        <x:v>20</x:v>
      </x:c>
      <x:c r="H12" s="304" t="str">
        <x:v>85mm CU, 카인의 반쯤 열린 입과 멀어지는 등</x:v>
      </x:c>
      <x:c r="I12" s="304" t="str">
        <x:v>카인은 잔해와 마태오의 등을 번갈아 보며 첫 변명을 꺼낸다. 아인은 화면에 있어도 대답하지 않는다.</x:v>
      </x:c>
      <x:c r="J12" s="304" t="str">
        <x:v>「…아니, 저게 갑자기 괴물이 된 게.」를 멀어지는 마태오 등 쪽으로 보내되 말끝을 흐린다.</x:v>
      </x:c>
      <x:c r="K12" s="304" t="str">
        <x:v>카인 대사. 아무 반응음 없음.</x:v>
      </x:c>
      <x:c r="L12" s="304" t="str">
        <x:v>훈련장에 남은 엠버 잔광과 관측창의 냉백이 섞이지만, 인물 표정에는 과장된 감정색을 더하지 않는다.</x:v>
      </x:c>
      <x:c r="M12" s="304" t="str">
        <x:v>1회독에는 ‘억울함의 시작’을 먼저 본다. 승리 직후 생활비·농담·관계의 온도로 긴장을 착지</x:v>
      </x:c>
      <x:c r="N12" s="304" t="str">
        <x:v>후속 정보가 생기면 행동·배경의 의미를 재검토</x:v>
      </x:c>
      <x:c r="O12" s="304" t="str">
        <x:v>독자는 ‘생활비 / 농담 / 손실’를 설명이 아니라 황혼의 판단 언어로 체화한다.</x:v>
      </x:c>
      <x:c r="P12" s="304" t="str">
        <x:v>전투 후 대화·생활비 정산</x:v>
      </x:c>
      <x:c r="Q12" s="304" t="str">
        <x:v>GLOBAL-VIS-01</x:v>
      </x:c>
      <x:c r="R12" s="304" t="str">
        <x:v>생활형 개그 뒤에 장부의 침묵을 붙이고, 승리의 비용을 허브 경제로 되돌린다. 출격은 장엄하되 영웅 보상처럼 만들지 않고 상처·빚·C 표식을 그대로 지닌 채 다음 전장으로 넘어간다.</x:v>
      </x:c>
      <x:c r="S12" s="323" t="str">
        <x:v>LOCKED_v1</x:v>
      </x:c>
    </x:row>
    <x:row r="13" ht="84" customHeight="1">
      <x:c r="A13" s="312" t="str">
        <x:v>259</x:v>
      </x:c>
      <x:c r="B13" s="304" t="str">
        <x:v>R. 합격과 공제</x:v>
      </x:c>
      <x:c r="C13" s="304" t="str">
        <x:v>대답 없는 첫 질문</x:v>
      </x:c>
      <x:c r="D13" s="314" t="str">
        <x:v>88%</x:v>
      </x:c>
      <x:c r="E13" s="318" t="n">
        <x:v>470</x:v>
      </x:c>
      <x:c r="F13" s="318" t="n">
        <x:v>60</x:v>
      </x:c>
      <x:c r="G13" s="318" t="n">
        <x:v>180</x:v>
      </x:c>
      <x:c r="H13" s="304" t="str">
        <x:v>28mm WIDE, 카인을 한쪽 가장자리에 작게 두고 나머지를 빈 바닥으로</x:v>
      </x:c>
      <x:c r="I13" s="304" t="str">
        <x:v>카인을 프레임 한쪽에 두고 빈 공간이 말을 삼키게 한다. 누군가의 반응 컷을 삽입하지 않는다.</x:v>
      </x:c>
      <x:c r="J13" s="304" t="str">
        <x:v>작은 말풍선 「…내 탓입니까?」를 카인 근처에. 빈 공간은 채우지 않는다.</x:v>
      </x:c>
      <x:c r="K13" s="304" t="str">
        <x:v>카인 말 뒤 훈련장 웅음만.</x:v>
      </x:c>
      <x:c r="L13" s="304" t="str">
        <x:v>훈련장에 남은 엠버 잔광과 관측창의 냉백이 섞이지만, 인물 표정에는 과장된 감정색을 더하지 않는다.</x:v>
      </x:c>
      <x:c r="M13" s="304" t="str">
        <x:v>1회독에는 ‘대답 없는 첫 질문’을 먼저 본다. 승리 직후 생활비·농담·관계의 온도로 긴장을 착지</x:v>
      </x:c>
      <x:c r="N13" s="304" t="str">
        <x:v>침묵한 반응의 이유를 후발 정보로 다시 읽음</x:v>
      </x:c>
      <x:c r="O13" s="304" t="str">
        <x:v>독자는 ‘생활비 / 농담 / 손실’를 설명이 아니라 황혼의 판단 언어로 체화한다.</x:v>
      </x:c>
      <x:c r="P13" s="304" t="str">
        <x:v>전투 후 대화·생활비 정산</x:v>
      </x:c>
      <x:c r="Q13" s="304" t="str">
        <x:v>대사 금지 또는 응답 없는 침묵 유지 / GLOBAL-VIS-01 / 아무도 대답하지 않는다. 반응 컷 삽입 금지.</x:v>
      </x:c>
      <x:c r="R13" s="304" t="str">
        <x:v>생활형 개그 뒤에 장부의 침묵을 붙이고, 승리의 비용을 허브 경제로 되돌린다. 출격은 장엄하되 영웅 보상처럼 만들지 않고 상처·빚·C 표식을 그대로 지닌 채 다음 전장으로 넘어간다.</x:v>
      </x:c>
      <x:c r="S13" s="323" t="str">
        <x:v>LOCKED_v1</x:v>
      </x:c>
    </x:row>
    <x:row r="14" ht="84" customHeight="1">
      <x:c r="A14" s="312" t="str">
        <x:v>260</x:v>
      </x:c>
      <x:c r="B14" s="304" t="str">
        <x:v>R. 합격과 공제</x:v>
      </x:c>
      <x:c r="C14" s="304" t="str">
        <x:v>대답 없는 두 번째 질문</x:v>
      </x:c>
      <x:c r="D14" s="314" t="str">
        <x:v>88%</x:v>
      </x:c>
      <x:c r="E14" s="318" t="n">
        <x:v>470</x:v>
      </x:c>
      <x:c r="F14" s="318" t="n">
        <x:v>20</x:v>
      </x:c>
      <x:c r="G14" s="318" t="n">
        <x:v>180</x:v>
      </x:c>
      <x:c r="H14" s="304" t="str">
        <x:v>28mm WIDE SAME FRAME, CUT259와 같은 구도에서 말만 한 줄 더</x:v>
      </x:c>
      <x:c r="I14" s="304" t="str">
        <x:v>CUT259와 같은 구도를 유지한 채 카인의 말만 더 작아진다. 생활 개그의 끝에 고립된 책임감을 남긴다.</x:v>
      </x:c>
      <x:c r="J14" s="304" t="str">
        <x:v>더 작은 말풍선 「치라고 해서 친 건데.」 같은 위치보다 조금 아래. 대답 컷 금지.</x:v>
      </x:c>
      <x:c r="K14" s="304" t="str">
        <x:v>더 작은 대사 후 완전 무응답.</x:v>
      </x:c>
      <x:c r="L14" s="304" t="str">
        <x:v>훈련장에 남은 엠버 잔광과 관측창의 냉백이 섞이지만, 인물 표정에는 과장된 감정색을 더하지 않는다.</x:v>
      </x:c>
      <x:c r="M14" s="304" t="str">
        <x:v>1회독에는 ‘대답 없는 두 번째 질문’을 먼저 본다. 승리 직후 생활비·농담·관계의 온도로 긴장을 착지</x:v>
      </x:c>
      <x:c r="N14" s="304" t="str">
        <x:v>침묵한 반응의 이유를 후발 정보로 다시 읽음</x:v>
      </x:c>
      <x:c r="O14" s="304" t="str">
        <x:v>독자는 ‘생활비 / 농담 / 손실’를 설명이 아니라 황혼의 판단 언어로 체화한다.</x:v>
      </x:c>
      <x:c r="P14" s="304" t="str">
        <x:v>전투 후 대화·생활비 정산</x:v>
      </x:c>
      <x:c r="Q14" s="304" t="str">
        <x:v>대사 금지 또는 응답 없는 침묵 유지 / GLOBAL-VIS-01 / 아무도 대답하지 않는다. 동일 빈 구도 유지.</x:v>
      </x:c>
      <x:c r="R14" s="304" t="str">
        <x:v>생활형 개그 뒤에 장부의 침묵을 붙이고, 승리의 비용을 허브 경제로 되돌린다. 출격은 장엄하되 영웅 보상처럼 만들지 않고 상처·빚·C 표식을 그대로 지닌 채 다음 전장으로 넘어간다.</x:v>
      </x:c>
      <x:c r="S14" s="323" t="str">
        <x:v>LOCKED_v1</x:v>
      </x:c>
    </x:row>
    <x:row r="15" ht="84" customHeight="1">
      <x:c r="A15" s="312" t="str">
        <x:v>261</x:v>
      </x:c>
      <x:c r="B15" s="304" t="str">
        <x:v>S. 손실 장부</x:v>
      </x:c>
      <x:c r="C15" s="304" t="str">
        <x:v>다시 책상으로</x:v>
      </x:c>
      <x:c r="D15" s="314" t="str">
        <x:v>72%</x:v>
      </x:c>
      <x:c r="E15" s="318" t="n">
        <x:v>430</x:v>
      </x:c>
      <x:c r="F15" s="318" t="n">
        <x:v>100</x:v>
      </x:c>
      <x:c r="G15" s="318" t="n">
        <x:v>30</x:v>
      </x:c>
      <x:c r="H15" s="304" t="str">
        <x:v>50mm MS, 사무소 책상 앞에 다시 앉는 마태오와 등 뒤 CRT</x:v>
      </x:c>
      <x:c r="I15" s="304" t="str">
        <x:v>사무소로 돌아온 마태오는 CRT를 보지 않고 바로 책상에 앉는다. 훈련장 사건과 가족 영상이 한 프레임에 있어도 시선은 장부로만 향한다.</x:v>
      </x:c>
      <x:c r="J15" s="304" t="str">
        <x:v>텍스트 없음.</x:v>
      </x:c>
      <x:c r="K15" s="304" t="str">
        <x:v>의자 가죽·책상 마찰, CRT 전기음.</x:v>
      </x:c>
      <x:c r="L15" s="304" t="str">
        <x:v>사무소 스탠드의 탁한 황색. 종이와 잉크, 낡은 가죽이 중심이며 CRT 가족 영상은 프레임에 들어와도 밝기를 낮춘다.</x:v>
      </x:c>
      <x:c r="M15" s="304" t="str">
        <x:v>1회독에는 ‘다시 책상으로’을 먼저 본다. 비용을 청구하지 않고 손실로 떠안는 마태오의 방식을 보여줌</x:v>
      </x:c>
      <x:c r="N15" s="304" t="str">
        <x:v>EP19·EP28의 장부와 연결되어 ‘손실’이 저항의 기록으로 확장 PAYOFF: EP19·EP28: 손실 장부·이름 기록</x:v>
      </x:c>
      <x:c r="O15" s="304" t="str">
        <x:v>독자는 ‘선택 / 대가 / 침묵’를 설명이 아니라 황혼의 판단 언어로 체화한다.</x:v>
      </x:c>
      <x:c r="P15" s="304" t="str">
        <x:v>비공개 손실 처리·허브 경제 상태 변화</x:v>
      </x:c>
      <x:c r="Q15" s="304" t="str">
        <x:v>GLOBAL-VIS-01 / 마태오는 CRT를 보지 않는다.</x:v>
      </x:c>
      <x:c r="R15" s="304" t="str">
        <x:v>생활형 개그 뒤에 장부의 침묵을 붙이고, 승리의 비용을 허브 경제로 되돌린다. 출격은 장엄하되 영웅 보상처럼 만들지 않고 상처·빚·C 표식을 그대로 지닌 채 다음 전장으로 넘어간다.</x:v>
      </x:c>
      <x:c r="S15" s="323" t="str">
        <x:v>LOCKED_v1</x:v>
      </x:c>
    </x:row>
    <x:row r="16" ht="84" customHeight="1">
      <x:c r="A16" s="312" t="str">
        <x:v>262</x:v>
      </x:c>
      <x:c r="B16" s="304" t="str">
        <x:v>S. 손실 장부</x:v>
      </x:c>
      <x:c r="C16" s="304" t="str">
        <x:v>또 하나의 장부</x:v>
      </x:c>
      <x:c r="D16" s="314" t="str">
        <x:v>56%</x:v>
      </x:c>
      <x:c r="E16" s="318" t="n">
        <x:v>400</x:v>
      </x:c>
      <x:c r="F16" s="318" t="n">
        <x:v>10</x:v>
      </x:c>
      <x:c r="G16" s="318" t="n">
        <x:v>20</x:v>
      </x:c>
      <x:c r="H16" s="304" t="str">
        <x:v>100mm INSERT, 책상 서랍에서 꺼낸 낡은 서류철이 펼쳐지는 순간</x:v>
      </x:c>
      <x:c r="I16" s="304" t="str">
        <x:v>서류철은 유진의 노트보다 두껍고 칸이 많은 현장 장부다. 표지의 마모와 손때로 2년 사용감을 보여준다.</x:v>
      </x:c>
      <x:c r="J16" s="304" t="str">
        <x:v>텍스트 없음.</x:v>
      </x:c>
      <x:c r="K16" s="304" t="str">
        <x:v>서류철 표지와 종이 마찰.</x:v>
      </x:c>
      <x:c r="L16" s="304" t="str">
        <x:v>사무소 스탠드의 탁한 황색. 종이와 잉크, 낡은 가죽이 중심이며 CRT 가족 영상은 프레임에 들어와도 밝기를 낮춘다.</x:v>
      </x:c>
      <x:c r="M16" s="304" t="str">
        <x:v>1회독에는 ‘또 하나의 장부’을 먼저 본다. 비용을 청구하지 않고 손실로 떠안는 마태오의 방식을 보여줌</x:v>
      </x:c>
      <x:c r="N16" s="304" t="str">
        <x:v>EP19·EP28의 장부와 연결되어 ‘손실’이 저항의 기록으로 확장 PAYOFF: EP19·EP28: 손실 장부·이름 기록</x:v>
      </x:c>
      <x:c r="O16" s="304" t="str">
        <x:v>독자는 ‘기록 / 이름 / 손실’를 설명이 아니라 황혼의 판단 언어로 체화한다.</x:v>
      </x:c>
      <x:c r="P16" s="304" t="str">
        <x:v>비공개 손실 처리·허브 경제 상태 변화</x:v>
      </x:c>
      <x:c r="Q16" s="304" t="str">
        <x:v>GLOBAL-VIS-01</x:v>
      </x:c>
      <x:c r="R16" s="304" t="str">
        <x:v>생활형 개그 뒤에 장부의 침묵을 붙이고, 승리의 비용을 허브 경제로 되돌린다. 출격은 장엄하되 영웅 보상처럼 만들지 않고 상처·빚·C 표식을 그대로 지닌 채 다음 전장으로 넘어간다.</x:v>
      </x:c>
      <x:c r="S16" s="323" t="str">
        <x:v>LOCKED_v1</x:v>
      </x:c>
    </x:row>
    <x:row r="17" ht="84" customHeight="1">
      <x:c r="A17" s="312" t="str">
        <x:v>263</x:v>
      </x:c>
      <x:c r="B17" s="304" t="str">
        <x:v>S. 손실 장부</x:v>
      </x:c>
      <x:c r="C17" s="304" t="str">
        <x:v>날짜·항목·금액</x:v>
      </x:c>
      <x:c r="D17" s="314" t="str">
        <x:v>54%</x:v>
      </x:c>
      <x:c r="E17" s="318" t="n">
        <x:v>400</x:v>
      </x:c>
      <x:c r="F17" s="318" t="n">
        <x:v>20</x:v>
      </x:c>
      <x:c r="G17" s="318" t="n">
        <x:v>50</x:v>
      </x:c>
      <x:c r="H17" s="304" t="str">
        <x:v>120mm ECU, 날짜·항목·금액·받을 사람 칸이 한눈에 보이는 장부 구조</x:v>
      </x:c>
      <x:c r="I17" s="304" t="str">
        <x:v>날짜·항목·금액 외에 ‘받을 사람’ 칸도 보이게 해 다음 빈칸의 의미를 준비한다. 표는 게임 UI가 아니라 손으로 그은 장부다.</x:v>
      </x:c>
      <x:c r="J17" s="304" t="str">
        <x:v>장부 소품 글씨만. 날짜·항목·금액·받을 사람 칸의 머리글이 읽힌다.</x:v>
      </x:c>
      <x:c r="K17" s="304" t="str">
        <x:v>펜을 들기 전 장부 종이가 펴지는 소리.</x:v>
      </x:c>
      <x:c r="L17" s="304" t="str">
        <x:v>사무소 스탠드의 탁한 황색. 종이와 잉크, 낡은 가죽이 중심이며 CRT 가족 영상은 프레임에 들어와도 밝기를 낮춘다.</x:v>
      </x:c>
      <x:c r="M17" s="304" t="str">
        <x:v>1회독에는 ‘날짜·항목·금액’을 먼저 본다. 비용을 청구하지 않고 손실로 떠안는 마태오의 방식을 보여줌</x:v>
      </x:c>
      <x:c r="N17" s="304" t="str">
        <x:v>침묵한 반응의 이유를 후발 정보로 다시 읽음 / EP19·EP28의 장부와 연결되어 ‘손실’이 저항의 기록으로 확장 PAYOFF: EP19·EP28: 손실 장부·이름 기록</x:v>
      </x:c>
      <x:c r="O17" s="304" t="str">
        <x:v>독자는 ‘선택 / 대가 / 침묵’를 설명이 아니라 황혼의 판단 언어로 체화한다.</x:v>
      </x:c>
      <x:c r="P17" s="304" t="str">
        <x:v>비공개 손실 처리·허브 경제 상태 변화</x:v>
      </x:c>
      <x:c r="Q17" s="304" t="str">
        <x:v>대사 금지 또는 응답 없는 침묵 유지 / GLOBAL-VIS-01 / 장부는 세계 내 종이 소품. 게임 UI처럼 반듯한 표 금지.</x:v>
      </x:c>
      <x:c r="R17" s="304" t="str">
        <x:v>생활형 개그 뒤에 장부의 침묵을 붙이고, 승리의 비용을 허브 경제로 되돌린다. 출격은 장엄하되 영웅 보상처럼 만들지 않고 상처·빚·C 표식을 그대로 지닌 채 다음 전장으로 넘어간다.</x:v>
      </x:c>
      <x:c r="S17" s="323" t="str">
        <x:v>LOCKED_v1</x:v>
      </x:c>
    </x:row>
    <x:row r="18" ht="84" customHeight="1">
      <x:c r="A18" s="312" t="str">
        <x:v>264</x:v>
      </x:c>
      <x:c r="B18" s="304" t="str">
        <x:v>S. 손실 장부</x:v>
      </x:c>
      <x:c r="C18" s="304" t="str">
        <x:v>오늘이라는 기록</x:v>
      </x:c>
      <x:c r="D18" s="314" t="str">
        <x:v>54%</x:v>
      </x:c>
      <x:c r="E18" s="318" t="n">
        <x:v>380</x:v>
      </x:c>
      <x:c r="F18" s="318" t="n">
        <x:v>10</x:v>
      </x:c>
      <x:c r="G18" s="318" t="n">
        <x:v>20</x:v>
      </x:c>
      <x:c r="H18" s="304" t="str">
        <x:v>120mm ECU, 펜촉이 오늘 날짜를 쓰는 손</x:v>
      </x:c>
      <x:c r="I18" s="304" t="str">
        <x:v>마태오는 날짜를 망설임 없이 쓴다. 훈련장 사건을 개인 감상보다 회계 행위로 먼저 처리하는 습관이다.</x:v>
      </x:c>
      <x:c r="J18" s="304" t="str">
        <x:v>텍스트 없음. 실제 날짜만 소품으로.</x:v>
      </x:c>
      <x:c r="K18" s="304" t="str">
        <x:v>펜 ‘사각’ 짧게.</x:v>
      </x:c>
      <x:c r="L18" s="304" t="str">
        <x:v>사무소 스탠드의 탁한 황색. 종이와 잉크, 낡은 가죽이 중심이며 CRT 가족 영상은 프레임에 들어와도 밝기를 낮춘다.</x:v>
      </x:c>
      <x:c r="M18" s="304" t="str">
        <x:v>1회독에는 ‘오늘이라는 기록’을 먼저 본다. 비용을 청구하지 않고 손실로 떠안는 마태오의 방식을 보여줌</x:v>
      </x:c>
      <x:c r="N18" s="304" t="str">
        <x:v>EP19·EP28의 장부와 연결되어 ‘손실’이 저항의 기록으로 확장 PAYOFF: EP19·EP28: 손실 장부·이름 기록</x:v>
      </x:c>
      <x:c r="O18" s="304" t="str">
        <x:v>독자는 ‘선택 / 대가 / 침묵’를 설명이 아니라 황혼의 판단 언어로 체화한다.</x:v>
      </x:c>
      <x:c r="P18" s="304" t="str">
        <x:v>비공개 손실 처리·허브 경제 상태 변화</x:v>
      </x:c>
      <x:c r="Q18" s="304" t="str">
        <x:v>GLOBAL-VIS-01</x:v>
      </x:c>
      <x:c r="R18" s="304" t="str">
        <x:v>생활형 개그 뒤에 장부의 침묵을 붙이고, 승리의 비용을 허브 경제로 되돌린다. 출격은 장엄하되 영웅 보상처럼 만들지 않고 상처·빚·C 표식을 그대로 지닌 채 다음 전장으로 넘어간다.</x:v>
      </x:c>
      <x:c r="S18" s="323" t="str">
        <x:v>LOCKED_v1</x:v>
      </x:c>
    </x:row>
    <x:row r="19" ht="84" customHeight="1">
      <x:c r="A19" s="312" t="str">
        <x:v>265</x:v>
      </x:c>
      <x:c r="B19" s="304" t="str">
        <x:v>S. 손실 장부</x:v>
      </x:c>
      <x:c r="C19" s="304" t="str">
        <x:v>30만 원의 이름</x:v>
      </x:c>
      <x:c r="D19" s="314" t="str">
        <x:v>54%</x:v>
      </x:c>
      <x:c r="E19" s="318" t="n">
        <x:v>400</x:v>
      </x:c>
      <x:c r="F19" s="318" t="n">
        <x:v>20</x:v>
      </x:c>
      <x:c r="G19" s="318" t="n">
        <x:v>50</x:v>
      </x:c>
      <x:c r="H19" s="304" t="str">
        <x:v>110mm ECU, ‘훈련 기재 파손 — 300,000’ 한 줄</x:v>
      </x:c>
      <x:c r="I19" s="304" t="str">
        <x:v>‘훈련 기재 파손 — 300,000’은 카인에게 청구하는 칸이 아니라 항목 칸에 적힌다. 글씨가 화나 보이거나 눌려 찢어지지 않는다.</x:v>
      </x:c>
      <x:c r="J19" s="304" t="str">
        <x:v>소품 글씨 「훈련 기재 파손 — 300,000」만.</x:v>
      </x:c>
      <x:c r="K19" s="304" t="str">
        <x:v>같은 펜 소리가 이어진다.</x:v>
      </x:c>
      <x:c r="L19" s="304" t="str">
        <x:v>사무소 스탠드의 탁한 황색. 종이와 잉크, 낡은 가죽이 중심이며 CRT 가족 영상은 프레임에 들어와도 밝기를 낮춘다.</x:v>
      </x:c>
      <x:c r="M19" s="304" t="str">
        <x:v>1회독에는 ‘30만 원의 이름’을 먼저 본다. 비용을 청구하지 않고 손실로 떠안는 마태오의 방식을 보여줌</x:v>
      </x:c>
      <x:c r="N19" s="304" t="str">
        <x:v>침묵한 반응의 이유를 후발 정보로 다시 읽음 / 시그니처 상징의 기원 / EP19·EP28의 장부와 연결되어 ‘손실’이 저항의 기록으로 확장 PAYOFF: EP19·EP28: 손실 장부·이름 기록</x:v>
      </x:c>
      <x:c r="O19" s="304" t="str">
        <x:v>독자는 ‘손 / 놓침 / 책임’를 설명이 아니라 황혼의 판단 언어로 체화한다.</x:v>
      </x:c>
      <x:c r="P19" s="304" t="str">
        <x:v>비공개 손실 처리·허브 경제 상태 변화</x:v>
      </x:c>
      <x:c r="Q19" s="304" t="str">
        <x:v>대사 금지 또는 응답 없는 침묵 유지 / GLOBAL-VIS-01</x:v>
      </x:c>
      <x:c r="R19" s="304" t="str">
        <x:v>생활형 개그 뒤에 장부의 침묵을 붙이고, 승리의 비용을 허브 경제로 되돌린다. 출격은 장엄하되 영웅 보상처럼 만들지 않고 상처·빚·C 표식을 그대로 지닌 채 다음 전장으로 넘어간다.</x:v>
      </x:c>
      <x:c r="S19" s="323" t="str">
        <x:v>LOCKED_v1</x:v>
      </x:c>
    </x:row>
    <x:row r="20" ht="84" customHeight="1">
      <x:c r="A20" s="312" t="str">
        <x:v>266</x:v>
      </x:c>
      <x:c r="B20" s="304" t="str">
        <x:v>S. 손실 장부</x:v>
      </x:c>
      <x:c r="C20" s="304" t="str">
        <x:v>받을 사람 없는 손실</x:v>
      </x:c>
      <x:c r="D20" s="314" t="str">
        <x:v>54%</x:v>
      </x:c>
      <x:c r="E20" s="318" t="n">
        <x:v>430</x:v>
      </x:c>
      <x:c r="F20" s="318" t="n">
        <x:v>20</x:v>
      </x:c>
      <x:c r="G20" s="318" t="n">
        <x:v>200</x:v>
      </x:c>
      <x:c r="H20" s="304" t="str">
        <x:v>130mm ECU, ‘손실’ 칸과 바로 옆 완전히 빈 받을 사람 칸을 함께</x:v>
      </x:c>
      <x:c r="I20" s="304" t="str">
        <x:v>금액은 ‘손실’ 칸에 들어가고 받을 사람 칸은 깨끗하게 비워 둔다. 빈칸을 프레임 절반 가까이 확보해 독자가 직접 읽게 한다.</x:v>
      </x:c>
      <x:c r="J20" s="304" t="str">
        <x:v>소품 글씨 「손실」과 완전히 빈 받을 사람 칸만. 설명 내레이션 금지.</x:v>
      </x:c>
      <x:c r="K20" s="304" t="str">
        <x:v>펜이 멈추고 아무 소리도 없다. 빈칸을 읽는 시간.</x:v>
      </x:c>
      <x:c r="L20" s="304" t="str">
        <x:v>사무소 스탠드의 탁한 황색. 종이와 잉크, 낡은 가죽이 중심이며 CRT 가족 영상은 프레임에 들어와도 밝기를 낮춘다.</x:v>
      </x:c>
      <x:c r="M20" s="304" t="str">
        <x:v>마태오가 30만 원을 받을 사람 없이 ‘손실’로 기록하는 장면을 본다.</x:v>
      </x:c>
      <x:c r="N20" s="304" t="str">
        <x:v>표면상 공제를 말했지만 실제로는 받을 사람을 적지 않고 ‘손실’로 떠안았다는 사실이 마태오의 보호 방식으로 재해석된다.</x:v>
      </x:c>
      <x:c r="O20" s="304" t="str">
        <x:v>독자는 ‘손 / 놓침 / 책임’를 설명이 아니라 황혼의 판단 언어로 체화한다.</x:v>
      </x:c>
      <x:c r="P20" s="304" t="str">
        <x:v>표면상 공제 대사와 실제 비공개 손실 처리를 분리해 허브 경제가 NPC의 선택으로 움직이게 한다.</x:v>
      </x:c>
      <x:c r="Q20" s="304" t="str">
        <x:v>대사 금지 또는 응답 없는 침묵 유지 / 필수 정보·좌우·거리 판독성 우선 / GLOBAL-VIS-01 / ‘손실’ 칸과 빈 받을 사람 칸 둘 다 필수. 이름·수취인 추가 금지.</x:v>
      </x:c>
      <x:c r="R20" s="304" t="str">
        <x:v>생활형 개그 뒤에 장부의 침묵을 붙이고, 승리의 비용을 허브 경제로 되돌린다. 출격은 장엄하되 영웅 보상처럼 만들지 않고 상처·빚·C 표식을 그대로 지닌 채 다음 전장으로 넘어간다.</x:v>
      </x:c>
      <x:c r="S20" s="323" t="str">
        <x:v>LOCKED_v1</x:v>
      </x:c>
    </x:row>
    <x:row r="21" ht="84" customHeight="1">
      <x:c r="A21" s="312" t="str">
        <x:v>267</x:v>
      </x:c>
      <x:c r="B21" s="304" t="str">
        <x:v>S. 손실 장부</x:v>
      </x:c>
      <x:c r="C21" s="304" t="str">
        <x:v>말하지 않고 덮다</x:v>
      </x:c>
      <x:c r="D21" s="314" t="str">
        <x:v>72%</x:v>
      </x:c>
      <x:c r="E21" s="318" t="n">
        <x:v>400</x:v>
      </x:c>
      <x:c r="F21" s="318" t="n">
        <x:v>20</x:v>
      </x:c>
      <x:c r="G21" s="318" t="n">
        <x:v>50</x:v>
      </x:c>
      <x:c r="H21" s="304" t="str">
        <x:v>65mm MS, 마태오가 빈칸을 잠깐 보고 장부를 덮어 서랍에 넣는 흐름</x:v>
      </x:c>
      <x:c r="I21" s="304" t="str">
        <x:v>마태오는 빈칸을 한 호흡만 보고 장부를 덮는다. 이름을 쓰거나 카인에게 돌리는 추가 동작은 없다.</x:v>
      </x:c>
      <x:c r="J21" s="304" t="str">
        <x:v>효과음 ‘탁’을 장부가 덮이는 순간에 작게.</x:v>
      </x:c>
      <x:c r="K21" s="304" t="str">
        <x:v>장부 ‘탁’, 서랍 레일.</x:v>
      </x:c>
      <x:c r="L21" s="304" t="str">
        <x:v>사무소 스탠드의 탁한 황색. 종이와 잉크, 낡은 가죽이 중심이며 CRT 가족 영상은 프레임에 들어와도 밝기를 낮춘다.</x:v>
      </x:c>
      <x:c r="M21" s="304" t="str">
        <x:v>1회독에는 ‘말하지 않고 덮다’을 먼저 본다. 비용을 청구하지 않고 손실로 떠안는 마태오의 방식을 보여줌</x:v>
      </x:c>
      <x:c r="N21" s="304" t="str">
        <x:v>침묵한 반응의 이유를 후발 정보로 다시 읽음 / EP19·EP28의 장부와 연결되어 ‘손실’이 저항의 기록으로 확장 PAYOFF: EP19·EP28: 손실 장부·이름 기록</x:v>
      </x:c>
      <x:c r="O21" s="304" t="str">
        <x:v>독자는 ‘기록 / 이름 / 손실’를 설명이 아니라 황혼의 판단 언어로 체화한다.</x:v>
      </x:c>
      <x:c r="P21" s="304" t="str">
        <x:v>비공개 손실 처리·허브 경제 상태 변화</x:v>
      </x:c>
      <x:c r="Q21" s="304" t="str">
        <x:v>대사 금지 또는 응답 없는 침묵 유지 / GLOBAL-VIS-01</x:v>
      </x:c>
      <x:c r="R21" s="304" t="str">
        <x:v>생활형 개그 뒤에 장부의 침묵을 붙이고, 승리의 비용을 허브 경제로 되돌린다. 출격은 장엄하되 영웅 보상처럼 만들지 않고 상처·빚·C 표식을 그대로 지닌 채 다음 전장으로 넘어간다.</x:v>
      </x:c>
      <x:c r="S21" s="323" t="str">
        <x:v>LOCKED_v1</x:v>
      </x:c>
    </x:row>
    <x:row r="22" ht="84" customHeight="1">
      <x:c r="A22" s="312" t="str">
        <x:v>268</x:v>
      </x:c>
      <x:c r="B22" s="304" t="str">
        <x:v>S. 손실 장부</x:v>
      </x:c>
      <x:c r="C22" s="304" t="str">
        <x:v>2년치 손실</x:v>
      </x:c>
      <x:c r="D22" s="314" t="str">
        <x:v>76%</x:v>
      </x:c>
      <x:c r="E22" s="318" t="n">
        <x:v>470</x:v>
      </x:c>
      <x:c r="F22" s="318" t="n">
        <x:v>30</x:v>
      </x:c>
      <x:c r="G22" s="318" t="n">
        <x:v>260</x:v>
      </x:c>
      <x:c r="H22" s="304" t="str">
        <x:v>32mm TOP DOWN LOCK, CUT120과 동일 프레이밍으로 여러 권의 2년치 손실 장부</x:v>
      </x:c>
      <x:c r="I22" s="304" t="str">
        <x:v>CUT120과 같은 위에서 내려다본 서랍 구도다. 노트 대신 같은 서류철이 여러 권 쌓여 있고, 권수보다 2년의 반복감이 먼저 보인다.</x:v>
      </x:c>
      <x:c r="J22" s="304" t="str">
        <x:v>텍스트 없음. ‘2년치’라는 자막을 넣지 않고 마모·권수로 체감시킨다.</x:v>
      </x:c>
      <x:c r="K22" s="304" t="str">
        <x:v>서류철이 다른 장부 위에 닿는 마른 소리. 서랍은 천천히 닫힌다.</x:v>
      </x:c>
      <x:c r="L22" s="304" t="str">
        <x:v>사무소 스탠드의 탁한 황색. 종이와 잉크, 낡은 가죽이 중심이며 CRT 가족 영상은 프레임에 들어와도 밝기를 낮춘다.</x:v>
      </x:c>
      <x:c r="M22" s="304" t="str">
        <x:v>그런 손실 장부가 이미 2년치 쌓여 있었음을 안다.</x:v>
      </x:c>
      <x:c r="N22" s="304" t="str">
        <x:v>CUT120의 유진 장부와 같은 구도에서, 한 사람은 이름을 남기고 다른 사람은 손실을 떠안았다는 두 종류의 기록이 대응한다.</x:v>
      </x:c>
      <x:c r="O22" s="304" t="str">
        <x:v>독자는 ‘기록 / 이름 / 손실’를 설명이 아니라 황혼의 판단 언어로 체화한다.</x:v>
      </x:c>
      <x:c r="P22" s="304" t="str">
        <x:v>손실 원장은 플레이어에게 직접 보이지 않는 허브 보호 비용·경제 상태의 누적 기록이 될 수 있다.</x:v>
      </x:c>
      <x:c r="Q22" s="304" t="str">
        <x:v>대사 금지 또는 응답 없는 침묵 유지 / 지정 컷과 동일 구도 / GLOBAL-VIS-01 / CUT120 동일 부감 프레이밍. 여러 권, 2년치. 마태오의 이유를 설명하지 않는다.</x:v>
      </x:c>
      <x:c r="R22" s="304" t="str">
        <x:v>생활형 개그 뒤에 장부의 침묵을 붙이고, 승리의 비용을 허브 경제로 되돌린다. 출격은 장엄하되 영웅 보상처럼 만들지 않고 상처·빚·C 표식을 그대로 지닌 채 다음 전장으로 넘어간다.</x:v>
      </x:c>
      <x:c r="S22" s="323" t="str">
        <x:v>LOCKED_v1</x:v>
      </x:c>
    </x:row>
    <x:row r="23" ht="84" customHeight="1">
      <x:c r="A23" s="312" t="str">
        <x:v>269</x:v>
      </x:c>
      <x:c r="B23" s="304" t="str">
        <x:v>T. 출격문</x:v>
      </x:c>
      <x:c r="C23" s="304" t="str">
        <x:v>출격문이 열리는 네 박자</x:v>
      </x:c>
      <x:c r="D23" s="314" t="str">
        <x:v>82% 4단</x:v>
      </x:c>
      <x:c r="E23" s="318" t="n">
        <x:v>1100</x:v>
      </x:c>
      <x:c r="F23" s="318" t="n">
        <x:v>90</x:v>
      </x:c>
      <x:c r="G23" s="318" t="n">
        <x:v>180</x:v>
      </x:c>
      <x:c r="H23" s="304" t="str">
        <x:v>28mm VERTICAL FOUR-STACK, 기계 맞물림→철문 상승→안개 유입→열린 틈을 네 박자로</x:v>
      </x:c>
      <x:c r="I23" s="304" t="str">
        <x:v>네 칸은 같은 세로축을 유지한다. 기계 톱니가 맞물리고, 찌그러진 철문이 올라가고, 붉은 안개가 바닥부터 들어오고, 마지막에 사람 하나가 통과할 틈이 열린다.</x:v>
      </x:c>
      <x:c r="J23" s="304" t="str">
        <x:v>‘쿠우우웅—’을 네 칸을 관통하는 하나의 세로 효과음으로 두되 문 구조를 가리지 않는다.</x:v>
      </x:c>
      <x:c r="K23" s="304" t="str">
        <x:v>거대한 기계의 맞물림과 ‘쿠우우웅—’이 네 단계로 커진다. 안개 유입은 낮은 바닥 마찰음.</x:v>
      </x:c>
      <x:c r="L23" s="304" t="str">
        <x:v>출격문 안쪽의 냉회색 금속과 문 너머의 붉은 안개. 아인의 코어만 엠버로 한 박자 뛰고, 도시 불빛·청록·게임식 미션 시작 광선은 사용하지 않는다.</x:v>
      </x:c>
      <x:c r="M23" s="304" t="str">
        <x:v>1회독에는 ‘출격문이 열리는 네 박자’을 먼저 본다. 상처와 C 인식표를 안고 첫 출격으로 넘어가는 회차 훅</x:v>
      </x:c>
      <x:c r="N23" s="304" t="str">
        <x:v>동일 구도 반복이 관계·기억의 변화를 증명 REFRAME: CUT071 4단 구조</x:v>
      </x:c>
      <x:c r="O23" s="304" t="str">
        <x:v>독자는 ‘출격 / 책임 / 다음 거리’를 설명이 아니라 황혼의 판단 언어로 체화한다.</x:v>
      </x:c>
      <x:c r="P23" s="304" t="str">
        <x:v>출격문·미션 시작·상처 유지·다음 지역 로딩</x:v>
      </x:c>
      <x:c r="Q23" s="304" t="str">
        <x:v>지정 컷과 동일 구도 / GLOBAL-VIS-01 / CUT071과 같은 세로 4단 구조 회수. 이번에는 엠버/붉은 안개, 세피아 금지.</x:v>
      </x:c>
      <x:c r="R23" s="304" t="str">
        <x:v>생활형 개그 뒤에 장부의 침묵을 붙이고, 승리의 비용을 허브 경제로 되돌린다. 출격은 장엄하되 영웅 보상처럼 만들지 않고 상처·빚·C 표식을 그대로 지닌 채 다음 전장으로 넘어간다.</x:v>
      </x:c>
      <x:c r="S23" s="323" t="str">
        <x:v>LOCKED_v1</x:v>
      </x:c>
    </x:row>
    <x:row r="24" ht="84" customHeight="1">
      <x:c r="A24" s="312" t="str">
        <x:v>270</x:v>
      </x:c>
      <x:c r="B24" s="304" t="str">
        <x:v>T. 출격문</x:v>
      </x:c>
      <x:c r="C24" s="304" t="str">
        <x:v>강남역이라는 좌표</x:v>
      </x:c>
      <x:c r="D24" s="314" t="str">
        <x:v>96%</x:v>
      </x:c>
      <x:c r="E24" s="318" t="n">
        <x:v>470</x:v>
      </x:c>
      <x:c r="F24" s="318" t="n">
        <x:v>20</x:v>
      </x:c>
      <x:c r="G24" s="318" t="n">
        <x:v>100</x:v>
      </x:c>
      <x:c r="H24" s="304" t="str">
        <x:v>20mm EWIDE, 출격문 상단 지명과 열린 문 전체</x:v>
      </x:c>
      <x:c r="I24" s="304" t="str">
        <x:v>문 상단의 ‘강남역 지하상가 출격문’은 실제 페인트·표지로 읽힌다. 문 너머는 지도 대신 붉은 안개와 어둠뿐이다.</x:v>
      </x:c>
      <x:c r="J24" s="304" t="str">
        <x:v>소품 표지 「강남역 지하상가 출격문」만. 미션 시작·지역 진입 UI 금지.</x:v>
      </x:c>
      <x:c r="K24" s="304" t="str">
        <x:v>문이 완전히 열린 뒤 금속 잔향과 바깥의 낮은 바람.</x:v>
      </x:c>
      <x:c r="L24" s="304" t="str">
        <x:v>출격문 안쪽의 냉회색 금속과 문 너머의 붉은 안개. 아인의 코어만 엠버로 한 박자 뛰고, 도시 불빛·청록·게임식 미션 시작 광선은 사용하지 않는다.</x:v>
      </x:c>
      <x:c r="M24" s="304" t="str">
        <x:v>1회독에는 ‘강남역이라는 좌표’을 먼저 본다. 상처와 C 인식표를 안고 첫 출격으로 넘어가는 회차 훅</x:v>
      </x:c>
      <x:c r="N24" s="304" t="str">
        <x:v>후속 정보가 생기면 행동·배경의 의미를 재검토</x:v>
      </x:c>
      <x:c r="O24" s="304" t="str">
        <x:v>독자는 ‘출격 / 책임 / 다음 거리’를 설명이 아니라 황혼의 판단 언어로 체화한다.</x:v>
      </x:c>
      <x:c r="P24" s="304" t="str">
        <x:v>출격문·미션 시작·상처 유지·다음 지역 로딩</x:v>
      </x:c>
      <x:c r="Q24" s="304" t="str">
        <x:v>GLOBAL-VIS-01 / 출격문 장소명 실제 소품. 로딩·미션 시작 UI 금지.</x:v>
      </x:c>
      <x:c r="R24" s="304" t="str">
        <x:v>생활형 개그 뒤에 장부의 침묵을 붙이고, 승리의 비용을 허브 경제로 되돌린다. 출격은 장엄하되 영웅 보상처럼 만들지 않고 상처·빚·C 표식을 그대로 지닌 채 다음 전장으로 넘어간다.</x:v>
      </x:c>
      <x:c r="S24" s="323" t="str">
        <x:v>LOCKED_v1</x:v>
      </x:c>
    </x:row>
    <x:row r="25" ht="84" customHeight="1">
      <x:c r="A25" s="312" t="str">
        <x:v>271</x:v>
      </x:c>
      <x:c r="B25" s="304" t="str">
        <x:v>T. 출격문</x:v>
      </x:c>
      <x:c r="C25" s="304" t="str">
        <x:v>낫을 메는 몸</x:v>
      </x:c>
      <x:c r="D25" s="314" t="str">
        <x:v>72%</x:v>
      </x:c>
      <x:c r="E25" s="318" t="n">
        <x:v>430</x:v>
      </x:c>
      <x:c r="F25" s="318" t="n">
        <x:v>10</x:v>
      </x:c>
      <x:c r="G25" s="318" t="n">
        <x:v>20</x:v>
      </x:c>
      <x:c r="H25" s="304" t="str">
        <x:v>55mm MS, 아인이 낫을 어깨에 걸며 몸의 무게중심을 조정</x:v>
      </x:c>
      <x:c r="I25" s="304" t="str">
        <x:v>아인은 다친 어깨 때문에 낫을 평소보다 아주 조금 늦게 올린다. 그러나 그립과 무게중심은 무너지지 않는다.</x:v>
      </x:c>
      <x:c r="J25" s="304" t="str">
        <x:v>텍스트 없음.</x:v>
      </x:c>
      <x:c r="K25" s="304" t="str">
        <x:v>낫 금속과 어깨 장비가 닿는 소리.</x:v>
      </x:c>
      <x:c r="L25" s="304" t="str">
        <x:v>출격문 안쪽의 냉회색 금속과 문 너머의 붉은 안개. 아인의 코어만 엠버로 한 박자 뛰고, 도시 불빛·청록·게임식 미션 시작 광선은 사용하지 않는다.</x:v>
      </x:c>
      <x:c r="M25" s="304" t="str">
        <x:v>1회독에는 ‘낫을 메는 몸’을 먼저 본다. 상처와 C 인식표를 안고 첫 출격으로 넘어가는 회차 훅</x:v>
      </x:c>
      <x:c r="N25" s="304" t="str">
        <x:v>후속 정보가 생기면 행동·배경의 의미를 재검토</x:v>
      </x:c>
      <x:c r="O25" s="304" t="str">
        <x:v>독자는 ‘거리 / 박자 / 원’를 설명이 아니라 황혼의 판단 언어로 체화한다.</x:v>
      </x:c>
      <x:c r="P25" s="304" t="str">
        <x:v>출격문·미션 시작·상처 유지·다음 지역 로딩</x:v>
      </x:c>
      <x:c r="Q25" s="304" t="str">
        <x:v>아인 왼쪽 견갑·오른쪽 건틀릿 좌우 고정 / GLOBAL-VIS-01 / 아인 장비 좌우 고정.</x:v>
      </x:c>
      <x:c r="R25" s="304" t="str">
        <x:v>생활형 개그 뒤에 장부의 침묵을 붙이고, 승리의 비용을 허브 경제로 되돌린다. 출격은 장엄하되 영웅 보상처럼 만들지 않고 상처·빚·C 표식을 그대로 지닌 채 다음 전장으로 넘어간다.</x:v>
      </x:c>
      <x:c r="S25" s="323" t="str">
        <x:v>LOCKED_v1</x:v>
      </x:c>
    </x:row>
    <x:row r="26" ht="84" customHeight="1">
      <x:c r="A26" s="312" t="str">
        <x:v>272</x:v>
      </x:c>
      <x:c r="B26" s="304" t="str">
        <x:v>T. 출격문</x:v>
      </x:c>
      <x:c r="C26" s="304" t="str">
        <x:v>코어의 한 박자</x:v>
      </x:c>
      <x:c r="D26" s="314" t="str">
        <x:v>54%</x:v>
      </x:c>
      <x:c r="E26" s="318" t="n">
        <x:v>380</x:v>
      </x:c>
      <x:c r="F26" s="318" t="n">
        <x:v>10</x:v>
      </x:c>
      <x:c r="G26" s="318" t="n">
        <x:v>20</x:v>
      </x:c>
      <x:c r="H26" s="304" t="str">
        <x:v>130mm ECU, 목덜미 코어가 한 번 밝게 뛰는 박자</x:v>
      </x:c>
      <x:c r="I26" s="304" t="str">
        <x:v>코어가 한 번 밝아졌다 바로 평소 박자로 돌아간다. 출격 승인이나 버프 이펙트로 보이지 않게 한다.</x:v>
      </x:c>
      <x:c r="J26" s="304" t="str">
        <x:v>텍스트 없음.</x:v>
      </x:c>
      <x:c r="K26" s="304" t="str">
        <x:v>코어 공명 한 박자. 버프·승급음 금지.</x:v>
      </x:c>
      <x:c r="L26" s="304" t="str">
        <x:v>출격문 안쪽의 냉회색 금속과 문 너머의 붉은 안개. 아인의 코어만 엠버로 한 박자 뛰고, 도시 불빛·청록·게임식 미션 시작 광선은 사용하지 않는다.</x:v>
      </x:c>
      <x:c r="M26" s="304" t="str">
        <x:v>1회독에는 ‘코어의 한 박자’을 먼저 본다. 상처와 C 인식표를 안고 첫 출격으로 넘어가는 회차 훅</x:v>
      </x:c>
      <x:c r="N26" s="304" t="str">
        <x:v>후속 정보가 생기면 행동·배경의 의미를 재검토</x:v>
      </x:c>
      <x:c r="O26" s="304" t="str">
        <x:v>독자는 ‘각인 / 성장 대가 / 수거’를 설명이 아니라 황혼의 판단 언어로 체화한다.</x:v>
      </x:c>
      <x:c r="P26" s="304" t="str">
        <x:v>출격문·미션 시작·상처 유지·다음 지역 로딩</x:v>
      </x:c>
      <x:c r="Q26" s="304" t="str">
        <x:v>GLOBAL-VIS-01 / 코어 엠버 단독. 버프·치유 효과 금지.</x:v>
      </x:c>
      <x:c r="R26" s="304" t="str">
        <x:v>생활형 개그 뒤에 장부의 침묵을 붙이고, 승리의 비용을 허브 경제로 되돌린다. 출격은 장엄하되 영웅 보상처럼 만들지 않고 상처·빚·C 표식을 그대로 지닌 채 다음 전장으로 넘어간다.</x:v>
      </x:c>
      <x:c r="S26" s="323" t="str">
        <x:v>LOCKED_v1</x:v>
      </x:c>
    </x:row>
    <x:row r="27" ht="84" customHeight="1">
      <x:c r="A27" s="312" t="str">
        <x:v>273</x:v>
      </x:c>
      <x:c r="B27" s="304" t="str">
        <x:v>T. 출격문</x:v>
      </x:c>
      <x:c r="C27" s="304" t="str">
        <x:v>아직 아물지 않은 어깨</x:v>
      </x:c>
      <x:c r="D27" s="314" t="str">
        <x:v>56%</x:v>
      </x:c>
      <x:c r="E27" s="318" t="n">
        <x:v>360</x:v>
      </x:c>
      <x:c r="F27" s="318" t="n">
        <x:v>10</x:v>
      </x:c>
      <x:c r="G27" s="318" t="n">
        <x:v>20</x:v>
      </x:c>
      <x:c r="H27" s="304" t="str">
        <x:v>110mm INSERT, 낫을 올리던 손이 어깨 통증에 아주 잠깐 멈춤</x:v>
      </x:c>
      <x:c r="I27" s="304" t="str">
        <x:v>오른손이 어깨 높이에서 잠깐 멎고, 통증 때문에 왼쪽 견갑 주변 근육이 굳는다. 상처는 저등급 C에서 아직 아물지 않았다.</x:v>
      </x:c>
      <x:c r="J27" s="304" t="str">
        <x:v>텍스트 없음. 통증 효과음·붉은 번개 금지.</x:v>
      </x:c>
      <x:c r="K27" s="304" t="str">
        <x:v>옷과 장비가 멈추는 작은 소리, 짧게 끊긴 숨.</x:v>
      </x:c>
      <x:c r="L27" s="304" t="str">
        <x:v>출격문 안쪽의 냉회색 금속과 문 너머의 붉은 안개. 아인의 코어만 엠버로 한 박자 뛰고, 도시 불빛·청록·게임식 미션 시작 광선은 사용하지 않는다.</x:v>
      </x:c>
      <x:c r="M27" s="304" t="str">
        <x:v>1회독에는 ‘아직 아물지 않은 어깨’을 먼저 본다. 상처와 C 인식표를 안고 첫 출격으로 넘어가는 회차 훅</x:v>
      </x:c>
      <x:c r="N27" s="304" t="str">
        <x:v>저등급 C에서는 상처가 즉시 사라지지 않는다는 규칙이 이후 고등급의 빠른 재생과 대비된다. 흉은 남는다.</x:v>
      </x:c>
      <x:c r="O27" s="304" t="str">
        <x:v>독자는 ‘손 / 놓침 / 책임’를 설명이 아니라 황혼의 판단 언어로 체화한다.</x:v>
      </x:c>
      <x:c r="P27" s="304" t="str">
        <x:v>C 등급의 느린 회복이 출격 준비 애니메이션과 조작 제약에 남는다. 등급이 오르면 회복 속도는 빨라지지만 흉은 외형에 유지한다.</x:v>
      </x:c>
      <x:c r="Q27" s="304" t="str">
        <x:v>대사 금지 또는 응답 없는 침묵 유지 / GLOBAL-VIS-01 / C 저등급 회복 규칙 반영: 어깨 상처가 아직 아물지 않음. 통증은 자세·멈춤으로.</x:v>
      </x:c>
      <x:c r="R27" s="304" t="str">
        <x:v>생활형 개그 뒤에 장부의 침묵을 붙이고, 승리의 비용을 허브 경제로 되돌린다. 출격은 장엄하되 영웅 보상처럼 만들지 않고 상처·빚·C 표식을 그대로 지닌 채 다음 전장으로 넘어간다.</x:v>
      </x:c>
      <x:c r="S27" s="323" t="str">
        <x:v>LOCKED_v1</x:v>
      </x:c>
    </x:row>
    <x:row r="28" ht="84" customHeight="1">
      <x:c r="A28" s="312" t="str">
        <x:v>274</x:v>
      </x:c>
      <x:c r="B28" s="304" t="str">
        <x:v>T. 출격문</x:v>
      </x:c>
      <x:c r="C28" s="304" t="str">
        <x:v>숨을 막는 갈비뼈</x:v>
      </x:c>
      <x:c r="D28" s="314" t="str">
        <x:v>56%</x:v>
      </x:c>
      <x:c r="E28" s="318" t="n">
        <x:v>360</x:v>
      </x:c>
      <x:c r="F28" s="318" t="n">
        <x:v>20</x:v>
      </x:c>
      <x:c r="G28" s="318" t="n">
        <x:v>50</x:v>
      </x:c>
      <x:c r="H28" s="304" t="str">
        <x:v>110mm INSERT, 반대 손이 갈비뼈를 짚고 호흡이 얕아지는 순간</x:v>
      </x:c>
      <x:c r="I28" s="304" t="str">
        <x:v>갈비뼈를 누르는 손과 얕은 들숨을 함께 보여준다. 골절 X-ray·붉은 경고 UI는 쓰지 않는다.</x:v>
      </x:c>
      <x:c r="J28" s="304" t="str">
        <x:v>텍스트 없음. 골절 설명 자막 금지.</x:v>
      </x:c>
      <x:c r="K28" s="304" t="str">
        <x:v>얕은 들숨과 갈비뼈 통증으로 멎는 호흡. 뼈 부러지는 재현음 금지.</x:v>
      </x:c>
      <x:c r="L28" s="304" t="str">
        <x:v>출격문 안쪽의 냉회색 금속과 문 너머의 붉은 안개. 아인의 코어만 엠버로 한 박자 뛰고, 도시 불빛·청록·게임식 미션 시작 광선은 사용하지 않는다.</x:v>
      </x:c>
      <x:c r="M28" s="304" t="str">
        <x:v>1회독에는 ‘숨을 막는 갈비뼈’을 먼저 본다. 상처와 C 인식표를 안고 첫 출격으로 넘어가는 회차 훅</x:v>
      </x:c>
      <x:c r="N28" s="304" t="str">
        <x:v>갈비뼈 통증이 출격 직전까지 이어져 승리가 상태 리셋이 아니었다는 사실이 누적된다.</x:v>
      </x:c>
      <x:c r="O28" s="304" t="str">
        <x:v>독자는 ‘출격 / 책임 / 다음 거리’를 설명이 아니라 황혼의 판단 언어로 체화한다.</x:v>
      </x:c>
      <x:c r="P28" s="304" t="str">
        <x:v>출격문·미션 시작·상처 유지·다음 지역 로딩</x:v>
      </x:c>
      <x:c r="Q28" s="304" t="str">
        <x:v>대사 금지 또는 응답 없는 침묵 유지 / GLOBAL-VIS-01 / C 저등급 회복 규칙 반영: 갈비뼈 손상과 얕은 호흡 유지. 즉시 재생 금지.</x:v>
      </x:c>
      <x:c r="R28" s="304" t="str">
        <x:v>생활형 개그 뒤에 장부의 침묵을 붙이고, 승리의 비용을 허브 경제로 되돌린다. 출격은 장엄하되 영웅 보상처럼 만들지 않고 상처·빚·C 표식을 그대로 지닌 채 다음 전장으로 넘어간다.</x:v>
      </x:c>
      <x:c r="S28" s="323" t="str">
        <x:v>LOCKED_v1</x:v>
      </x:c>
    </x:row>
    <x:row r="29" ht="84" customHeight="1">
      <x:c r="A29" s="312" t="str">
        <x:v>275</x:v>
      </x:c>
      <x:c r="B29" s="304" t="str">
        <x:v>T. 출격문</x:v>
      </x:c>
      <x:c r="C29" s="304" t="str">
        <x:v>상관없다는 얼굴</x:v>
      </x:c>
      <x:c r="D29" s="314" t="str">
        <x:v>64%</x:v>
      </x:c>
      <x:c r="E29" s="318" t="n">
        <x:v>400</x:v>
      </x:c>
      <x:c r="F29" s="318" t="n">
        <x:v>20</x:v>
      </x:c>
      <x:c r="G29" s="318" t="n">
        <x:v>120</x:v>
      </x:c>
      <x:c r="H29" s="304" t="str">
        <x:v>85mm CU, 통증을 이름 붙이지 않고 앞으로 시선을 고정한 얼굴</x:v>
      </x:c>
      <x:c r="I29" s="304" t="str">
        <x:v>아인의 얼굴은 통증을 부정하는 표정이 아니라, 통증을 계산 안에 넣고 계속하는 얼굴이다. ‘상관없다’ 자막을 추가하지 않는다.</x:v>
      </x:c>
      <x:c r="J29" s="304" t="str">
        <x:v>텍스트 없음. ‘상관없다’는 표정과 다음 행동으로만 전달한다.</x:v>
      </x:c>
      <x:c r="K29" s="304" t="str">
        <x:v>호흡이 다시 이어진다. 음악은 아직 시작하지 않는다.</x:v>
      </x:c>
      <x:c r="L29" s="304" t="str">
        <x:v>출격문 안쪽의 냉회색 금속과 문 너머의 붉은 안개. 아인의 코어만 엠버로 한 박자 뛰고, 도시 불빛·청록·게임식 미션 시작 광선은 사용하지 않는다.</x:v>
      </x:c>
      <x:c r="M29" s="304" t="str">
        <x:v>1회독에는 ‘상관없다는 얼굴’을 먼저 본다. 상처와 C 인식표를 안고 첫 출격으로 넘어가는 회차 훅</x:v>
      </x:c>
      <x:c r="N29" s="304" t="str">
        <x:v>침묵한 반응의 이유를 후발 정보로 다시 읽음</x:v>
      </x:c>
      <x:c r="O29" s="304" t="str">
        <x:v>독자는 ‘출격 / 책임 / 다음 거리’를 설명이 아니라 황혼의 판단 언어로 체화한다.</x:v>
      </x:c>
      <x:c r="P29" s="304" t="str">
        <x:v>출격문·미션 시작·상처 유지·다음 지역 로딩</x:v>
      </x:c>
      <x:c r="Q29" s="304" t="str">
        <x:v>대사 금지 또는 응답 없는 침묵 유지 / 아인 왼쪽 견갑·오른쪽 건틀릿 좌우 고정 / GLOBAL-VIS-01 / 감정·통증을 이름으로 부르지 않는다.</x:v>
      </x:c>
      <x:c r="R29" s="304" t="str">
        <x:v>생활형 개그 뒤에 장부의 침묵을 붙이고, 승리의 비용을 허브 경제로 되돌린다. 출격은 장엄하되 영웅 보상처럼 만들지 않고 상처·빚·C 표식을 그대로 지닌 채 다음 전장으로 넘어간다.</x:v>
      </x:c>
      <x:c r="S29" s="323" t="str">
        <x:v>LOCKED_v1</x:v>
      </x:c>
    </x:row>
    <x:row r="30" ht="84" customHeight="1">
      <x:c r="A30" s="312" t="str">
        <x:v>276</x:v>
      </x:c>
      <x:c r="B30" s="304" t="str">
        <x:v>U. 두 번 다시 놓치지 않기</x:v>
      </x:c>
      <x:c r="C30" s="304" t="str">
        <x:v>놓치지 않겠다는 출격</x:v>
      </x:c>
      <x:c r="D30" s="314" t="str">
        <x:v>72%</x:v>
      </x:c>
      <x:c r="E30" s="318" t="n">
        <x:v>560</x:v>
      </x:c>
      <x:c r="F30" s="318" t="n">
        <x:v>70</x:v>
      </x:c>
      <x:c r="G30" s="318" t="n">
        <x:v>180</x:v>
      </x:c>
      <x:c r="H30" s="304" t="str">
        <x:v>65mm MS FRONT, 붉은 안개를 정면으로 보는 아인과 화면 밖 카인</x:v>
      </x:c>
      <x:c r="I30" s="304" t="str">
        <x:v>아인은 안개를 보며 말하고 카인을 돌아보지 않는다. 대사는 두 줄 이하로 두고 ‘놓치는 손’에 굵은 강조를 하지 않는다.</x:v>
      </x:c>
      <x:c r="J30" s="304" t="str">
        <x:v>말풍선을 안개 쪽 빈 공간에 두 줄. 「…가자, 카인. / 두 번 다시 놓치는 손은 없어야 하니까.」 굵은 강조 금지.</x:v>
      </x:c>
      <x:c r="K30" s="304" t="str">
        <x:v>아인 대사. 안개 바람이 뒤에 낮게 흐른다.</x:v>
      </x:c>
      <x:c r="L30" s="304" t="str">
        <x:v>출격문 안쪽의 냉회색 금속과 문 너머의 붉은 안개. 아인의 코어만 엠버로 한 박자 뛰고, 도시 불빛·청록·게임식 미션 시작 광선은 사용하지 않는다.</x:v>
      </x:c>
      <x:c r="M30" s="304" t="str">
        <x:v>아인이 상처를 안고도 ‘두 번 다시 놓치는 손은 없어야 한다’며 출격을 선택한다.</x:v>
      </x:c>
      <x:c r="N30" s="304" t="str">
        <x:v>‘놓치는 손’은 외전 「셔터」를 알게 된 뒤 아인의 죄책감과 카인의 반보가 같은 사건에서 갈라져 나왔음을 다시 읽게 한다.</x:v>
      </x:c>
      <x:c r="O30" s="304" t="str">
        <x:v>독자는 ‘출격 / 책임 / 다음 거리’를 설명이 아니라 황혼의 판단 언어로 체화한다.</x:v>
      </x:c>
      <x:c r="P30" s="304" t="str">
        <x:v>미션 시작 선택은 상처·장비·부채를 리셋하지 않는다. 플레이어가 상태를 안고 출격한다.</x:v>
      </x:c>
      <x:c r="Q30" s="304" t="str">
        <x:v>아인 왼쪽 견갑·오른쪽 건틀릿 좌우 고정 / GLOBAL-VIS-01 / 외전 확장 단서이지만 본편 대사만으로 완결. ‘놓치는 손’ 과잉 강조 금지.</x:v>
      </x:c>
      <x:c r="R30" s="304" t="str">
        <x:v>생활형 개그 뒤에 장부의 침묵을 붙이고, 승리의 비용을 허브 경제로 되돌린다. 출격은 장엄하되 영웅 보상처럼 만들지 않고 상처·빚·C 표식을 그대로 지닌 채 다음 전장으로 넘어간다.</x:v>
      </x:c>
      <x:c r="S30" s="323" t="str">
        <x:v>LOCKED_v1</x:v>
      </x:c>
    </x:row>
    <x:row r="31" ht="84" customHeight="1">
      <x:c r="A31" s="312" t="str">
        <x:v>277</x:v>
      </x:c>
      <x:c r="B31" s="304" t="str">
        <x:v>U. 두 번 다시 놓치지 않기</x:v>
      </x:c>
      <x:c r="C31" s="304" t="str">
        <x:v>깨부수겠다는 대답</x:v>
      </x:c>
      <x:c r="D31" s="314" t="str">
        <x:v>72%</x:v>
      </x:c>
      <x:c r="E31" s="318" t="n">
        <x:v>470</x:v>
      </x:c>
      <x:c r="F31" s="318" t="n">
        <x:v>20</x:v>
      </x:c>
      <x:c r="G31" s="318" t="n">
        <x:v>50</x:v>
      </x:c>
      <x:c r="H31" s="304" t="str">
        <x:v>55mm MS, 카인이 대검을 뽑아 어깨에 메며 반응</x:v>
      </x:c>
      <x:c r="I31" s="304" t="str">
        <x:v>카인은 큰 목소리로 받아도 아인 옆으로 나오지 않는다. 대검을 어깨에 메고 한 발을 내디딜 준비를 한다.</x:v>
      </x:c>
      <x:c r="J31" s="304" t="str">
        <x:v>카인 대사는 한 말풍선에 두 행. 「오냐. / 놈들 머리통을 깨부수러 가자고!」</x:v>
      </x:c>
      <x:c r="K31" s="304" t="str">
        <x:v>대검을 메는 금속음과 카인의 큰 대사.</x:v>
      </x:c>
      <x:c r="L31" s="304" t="str">
        <x:v>출격문 안쪽의 냉회색 금속과 문 너머의 붉은 안개. 아인의 코어만 엠버로 한 박자 뛰고, 도시 불빛·청록·게임식 미션 시작 광선은 사용하지 않는다.</x:v>
      </x:c>
      <x:c r="M31" s="304" t="str">
        <x:v>1회독에는 ‘깨부수겠다는 대답’을 먼저 본다. 상처와 C 인식표를 안고 첫 출격으로 넘어가는 회차 훅</x:v>
      </x:c>
      <x:c r="N31" s="304" t="str">
        <x:v>후속 정보가 생기면 행동·배경의 의미를 재검토</x:v>
      </x:c>
      <x:c r="O31" s="304" t="str">
        <x:v>독자는 ‘출격 / 책임 / 다음 거리’를 설명이 아니라 황혼의 판단 언어로 체화한다.</x:v>
      </x:c>
      <x:c r="P31" s="304" t="str">
        <x:v>출격문·미션 시작·상처 유지·다음 지역 로딩</x:v>
      </x:c>
      <x:c r="Q31" s="304" t="str">
        <x:v>GLOBAL-VIS-01 / 카인은 아인 옆으로 나오지 않는다.</x:v>
      </x:c>
      <x:c r="R31" s="304" t="str">
        <x:v>생활형 개그 뒤에 장부의 침묵을 붙이고, 승리의 비용을 허브 경제로 되돌린다. 출격은 장엄하되 영웅 보상처럼 만들지 않고 상처·빚·C 표식을 그대로 지닌 채 다음 전장으로 넘어간다.</x:v>
      </x:c>
      <x:c r="S31" s="323" t="str">
        <x:v>LOCKED_v1</x:v>
      </x:c>
    </x:row>
    <x:row r="32" ht="84" customHeight="1">
      <x:c r="A32" s="312" t="str">
        <x:v>278</x:v>
      </x:c>
      <x:c r="B32" s="304" t="str">
        <x:v>U. 두 번 다시 놓치지 않기</x:v>
      </x:c>
      <x:c r="C32" s="304" t="str">
        <x:v>30만 원짜리 농담</x:v>
      </x:c>
      <x:c r="D32" s="314" t="str">
        <x:v>64%</x:v>
      </x:c>
      <x:c r="E32" s="318" t="n">
        <x:v>400</x:v>
      </x:c>
      <x:c r="F32" s="318" t="n">
        <x:v>40</x:v>
      </x:c>
      <x:c r="G32" s="318" t="n">
        <x:v>100</x:v>
      </x:c>
      <x:c r="H32" s="304" t="str">
        <x:v>85mm CU, 한 걸음 뒤 작은 목소리로 덧붙이는 카인</x:v>
      </x:c>
      <x:c r="I32" s="304" t="str">
        <x:v>첫 발을 내딛다 30만 원을 작게 덧붙인다. 웃음표·치비화 없이 생존자의 생활 농담으로 남긴다.</x:v>
      </x:c>
      <x:c r="J32" s="304" t="str">
        <x:v>작은 말풍선 하나. 「…30만 원어치는 더 부숴야겠어.」 코믹 폰트 금지.</x:v>
      </x:c>
      <x:c r="K32" s="304" t="str">
        <x:v>한 발 ‘툭’ 뒤 작은 대사.</x:v>
      </x:c>
      <x:c r="L32" s="304" t="str">
        <x:v>출격문 안쪽의 냉회색 금속과 문 너머의 붉은 안개. 아인의 코어만 엠버로 한 박자 뛰고, 도시 불빛·청록·게임식 미션 시작 광선은 사용하지 않는다.</x:v>
      </x:c>
      <x:c r="M32" s="304" t="str">
        <x:v>1회독에는 ‘30만 원짜리 농담’을 먼저 본다. 상처와 C 인식표를 안고 첫 출격으로 넘어가는 회차 훅</x:v>
      </x:c>
      <x:c r="N32" s="304" t="str">
        <x:v>후속 정보가 생기면 행동·배경의 의미를 재검토</x:v>
      </x:c>
      <x:c r="O32" s="304" t="str">
        <x:v>독자는 ‘거리 / 보호 / 선택’를 설명이 아니라 황혼의 판단 언어로 체화한다.</x:v>
      </x:c>
      <x:c r="P32" s="304" t="str">
        <x:v>출격문·미션 시작·상처 유지·다음 지역 로딩</x:v>
      </x:c>
      <x:c r="Q32" s="304" t="str">
        <x:v>GLOBAL-VIS-01 / 치비·코믹 폰트 금지.</x:v>
      </x:c>
      <x:c r="R32" s="304" t="str">
        <x:v>생활형 개그 뒤에 장부의 침묵을 붙이고, 승리의 비용을 허브 경제로 되돌린다. 출격은 장엄하되 영웅 보상처럼 만들지 않고 상처·빚·C 표식을 그대로 지닌 채 다음 전장으로 넘어간다.</x:v>
      </x:c>
      <x:c r="S32" s="323" t="str">
        <x:v>LOCKED_v1</x:v>
      </x:c>
    </x:row>
    <x:row r="33" ht="84" customHeight="1">
      <x:c r="A33" s="312" t="str">
        <x:v>279</x:v>
      </x:c>
      <x:c r="B33" s="304" t="str">
        <x:v>U. 두 번 다시 놓치지 않기</x:v>
      </x:c>
      <x:c r="C33" s="304" t="str">
        <x:v>다시 반보 뒤</x:v>
      </x:c>
      <x:c r="D33" s="314" t="str">
        <x:v>88%</x:v>
      </x:c>
      <x:c r="E33" s="318" t="n">
        <x:v>560</x:v>
      </x:c>
      <x:c r="F33" s="318" t="n">
        <x:v>50</x:v>
      </x:c>
      <x:c r="G33" s="318" t="n">
        <x:v>30</x:v>
      </x:c>
      <x:c r="H33" s="304" t="str">
        <x:v>28mm REAR WIDE LOCK, 두 사람 전신과 두 쌍의 발. 카인은 정확히 반보 뒤</x:v>
      </x:c>
      <x:c r="I33" s="304" t="str">
        <x:v>두 사람은 안개로 들어가며 아인이 한 발 앞선다. 발과 그림자 모두 반보 차이를 유지하고, 카인의 검이 아인을 가리지 않는다.</x:v>
      </x:c>
      <x:c r="J33" s="304" t="str">
        <x:v>텍스트 없음. ‘반보 뒤였다’ 내레이션은 추가하지 않고 구도로 보여준다.</x:v>
      </x:c>
      <x:c r="K33" s="304" t="str">
        <x:v>두 사람 발소리가 반 박자 차로 안개 속에 들어간다.</x:v>
      </x:c>
      <x:c r="L33" s="304" t="str">
        <x:v>출격문 안쪽의 냉회색 금속과 문 너머의 붉은 안개. 아인의 코어만 엠버로 한 박자 뛰고, 도시 불빛·청록·게임식 미션 시작 광선은 사용하지 않는다.</x:v>
      </x:c>
      <x:c r="M33" s="304" t="str">
        <x:v>1회독에는 ‘다시 반보 뒤’을 먼저 본다. 상처와 C 인식표를 안고 첫 출격으로 넘어가는 회차 훅</x:v>
      </x:c>
      <x:c r="N33" s="304" t="str">
        <x:v>옥상·훈련장·출격문에서 반복된 반보가 우연한 포지션이 아니라 관계의 문장으로 굳어진다.</x:v>
      </x:c>
      <x:c r="O33" s="304" t="str">
        <x:v>독자는 ‘거리 / 보호 / 선택’를 설명이 아니라 황혼의 판단 언어로 체화한다.</x:v>
      </x:c>
      <x:c r="P33" s="304" t="str">
        <x:v>동료 AI 포메이션과 컷신 구도가 같은 ‘반보 뒤’ 규칙을 공유한다.</x:v>
      </x:c>
      <x:c r="Q33" s="304" t="str">
        <x:v>대사 금지 또는 응답 없는 침묵 유지 / 카인 반보 뒤 / 두 사람 발 프레임 포함 / GLOBAL-VIS-01 / 카인은 정확히 반보 뒤. 두 쌍의 발 필수. 아인이 앞.</x:v>
      </x:c>
      <x:c r="R33" s="304" t="str">
        <x:v>생활형 개그 뒤에 장부의 침묵을 붙이고, 승리의 비용을 허브 경제로 되돌린다. 출격은 장엄하되 영웅 보상처럼 만들지 않고 상처·빚·C 표식을 그대로 지닌 채 다음 전장으로 넘어간다.</x:v>
      </x:c>
      <x:c r="S33" s="323" t="str">
        <x:v>LOCKED_v1</x:v>
      </x:c>
    </x:row>
    <x:row r="34" ht="84" customHeight="1">
      <x:c r="A34" s="312" t="str">
        <x:v>280</x:v>
      </x:c>
      <x:c r="B34" s="304" t="str">
        <x:v>U. 두 번 다시 놓치지 않기</x:v>
      </x:c>
      <x:c r="C34" s="304" t="str">
        <x:v>걸음마다 부딪히는 표식</x:v>
      </x:c>
      <x:c r="D34" s="314" t="str">
        <x:v>54%</x:v>
      </x:c>
      <x:c r="E34" s="318" t="n">
        <x:v>380</x:v>
      </x:c>
      <x:c r="F34" s="318" t="n">
        <x:v>10</x:v>
      </x:c>
      <x:c r="G34" s="318" t="n">
        <x:v>20</x:v>
      </x:c>
      <x:c r="H34" s="304" t="str">
        <x:v>120mm ECU, 걸음에 맞춰 부딪히는 두 인식표</x:v>
      </x:c>
      <x:c r="I34" s="304" t="str">
        <x:v>두 인식표가 걸음 박자마다 한 번 부딪힌다. 체인 길이와 금속 질감이 달라 서로 다른 사람의 표식임을 남긴다.</x:v>
      </x:c>
      <x:c r="J34" s="304" t="str">
        <x:v>작은 효과음 ‘짤랑’을 인식표 사이에 한 번.</x:v>
      </x:c>
      <x:c r="K34" s="304" t="str">
        <x:v>걸음마다 ‘짤랑’ 한 번. 두 태그의 음색을 아주 조금 다르게.</x:v>
      </x:c>
      <x:c r="L34" s="304" t="str">
        <x:v>출격문 안쪽의 냉회색 금속과 문 너머의 붉은 안개. 아인의 코어만 엠버로 한 박자 뛰고, 도시 불빛·청록·게임식 미션 시작 광선은 사용하지 않는다.</x:v>
      </x:c>
      <x:c r="M34" s="304" t="str">
        <x:v>1회독에는 ‘걸음마다 부딪히는 표식’을 먼저 본다. 상처와 C 인식표를 안고 첫 출격으로 넘어가는 회차 훅</x:v>
      </x:c>
      <x:c r="N34" s="304" t="str">
        <x:v>침묵한 반응의 이유를 후발 정보로 다시 읽음</x:v>
      </x:c>
      <x:c r="O34" s="304" t="str">
        <x:v>독자는 ‘거리 / 보호 / 선택 / 등급’를 설명이 아니라 황혼의 판단 언어로 체화한다.</x:v>
      </x:c>
      <x:c r="P34" s="304" t="str">
        <x:v>출격문·미션 시작·상처 유지·다음 지역 로딩</x:v>
      </x:c>
      <x:c r="Q34" s="304" t="str">
        <x:v>대사 금지 또는 응답 없는 침묵 유지 / GLOBAL-VIS-01 / 인식표 두 개. 걸음 박자에 맞춰 충돌.</x:v>
      </x:c>
      <x:c r="R34" s="304" t="str">
        <x:v>생활형 개그 뒤에 장부의 침묵을 붙이고, 승리의 비용을 허브 경제로 되돌린다. 출격은 장엄하되 영웅 보상처럼 만들지 않고 상처·빚·C 표식을 그대로 지닌 채 다음 전장으로 넘어간다.</x:v>
      </x:c>
      <x:c r="S34" s="323" t="str">
        <x:v>LOCKED_v1</x:v>
      </x:c>
    </x:row>
    <x:row r="35" ht="84" customHeight="1">
      <x:c r="A35" s="312" t="str">
        <x:v>281</x:v>
      </x:c>
      <x:c r="B35" s="304" t="str">
        <x:v>U. 두 번 다시 놓치지 않기</x:v>
      </x:c>
      <x:c r="C35" s="304" t="str">
        <x:v>같은 C 두 개</x:v>
      </x:c>
      <x:c r="D35" s="314" t="str">
        <x:v>54%</x:v>
      </x:c>
      <x:c r="E35" s="318" t="n">
        <x:v>400</x:v>
      </x:c>
      <x:c r="F35" s="318" t="n">
        <x:v>10</x:v>
      </x:c>
      <x:c r="G35" s="318" t="n">
        <x:v>120</x:v>
      </x:c>
      <x:c r="H35" s="304" t="str">
        <x:v>130mm ECU, 서로 다른 흠집을 가진 두 금속표의 같은 C</x:v>
      </x:c>
      <x:c r="I35" s="304" t="str">
        <x:v>두 C는 글자와 크기가 같지만 표면 흠집·열변색·체인 연결이 다르다. 같은 분류가 같은 사람을 뜻하지 않음을 보여준다.</x:v>
      </x:c>
      <x:c r="J35" s="304" t="str">
        <x:v>텍스트 없음. C·C는 소품 글자로만.</x:v>
      </x:c>
      <x:c r="K35" s="304" t="str">
        <x:v>금속음 잔향만. 음악 없음.</x:v>
      </x:c>
      <x:c r="L35" s="304" t="str">
        <x:v>출격문 안쪽의 냉회색 금속과 문 너머의 붉은 안개. 아인의 코어만 엠버로 한 박자 뛰고, 도시 불빛·청록·게임식 미션 시작 광선은 사용하지 않는다.</x:v>
      </x:c>
      <x:c r="M35" s="304" t="str">
        <x:v>1회독에는 ‘같은 C 두 개’을 먼저 본다. 상처와 C 인식표를 안고 첫 출격으로 넘어가는 회차 훅</x:v>
      </x:c>
      <x:c r="N35" s="304" t="str">
        <x:v>같은 C 두 개가 전혀 다른 전투 역할과 사람을 분류한다. 등급이 무엇을 세는지에 대한 불일치를 마지막으로 다시 건다.</x:v>
      </x:c>
      <x:c r="O35" s="304" t="str">
        <x:v>독자는 ‘출격 / 책임 / 다음 거리’를 설명이 아니라 황혼의 판단 언어로 체화한다.</x:v>
      </x:c>
      <x:c r="P35" s="304" t="str">
        <x:v>출격문·미션 시작·상처 유지·다음 지역 로딩</x:v>
      </x:c>
      <x:c r="Q35" s="304" t="str">
        <x:v>GLOBAL-VIS-01 / C·C 동일 글자. 레어도 색·빛 금지.</x:v>
      </x:c>
      <x:c r="R35" s="304" t="str">
        <x:v>생활형 개그 뒤에 장부의 침묵을 붙이고, 승리의 비용을 허브 경제로 되돌린다. 출격은 장엄하되 영웅 보상처럼 만들지 않고 상처·빚·C 표식을 그대로 지닌 채 다음 전장으로 넘어간다.</x:v>
      </x:c>
      <x:c r="S35" s="323" t="str">
        <x:v>LOCKED_v1</x:v>
      </x:c>
    </x:row>
    <x:row r="36" ht="84" customHeight="1">
      <x:c r="A36" s="313" t="str">
        <x:v>282</x:v>
      </x:c>
      <x:c r="B36" s="307" t="str">
        <x:v>U. 두 번 다시 놓치지 않기</x:v>
      </x:c>
      <x:c r="C36" s="307" t="str">
        <x:v>숫자를 모른 채 안개 속으로</x:v>
      </x:c>
      <x:c r="D36" s="315" t="str">
        <x:v>100% BLEED</x:v>
      </x:c>
      <x:c r="E36" s="319" t="n">
        <x:v>1500</x:v>
      </x:c>
      <x:c r="F36" s="319" t="n">
        <x:v>30</x:v>
      </x:c>
      <x:c r="G36" s="319" t="n">
        <x:v>520</x:v>
      </x:c>
      <x:c r="H36" s="307" t="str">
        <x:v>18mm EWIDE VERTICAL BLEED, 붉은 안개가 두 작은 실루엣을 아래에서 위로 삼키는 종결 숏</x:v>
      </x:c>
      <x:c r="I36" s="307" t="str">
        <x:v>안개가 발→허리→어깨 순으로 둘을 삼킨다. 마지막까지 카인의 반보 실루엣이 남고, 문 밖 도시 불빛은 하나도 보이지 않는다.</x:v>
      </x:c>
      <x:c r="J36" s="307" t="str">
        <x:v>나레이션을 화면 중하단의 안개 속 빈 공간에 두 줄. 「그것이 무엇을 세고 있는 숫자인지, / 두 사람은 아직 알지 못했다.」 아래 500px 이상 무음 여백.</x:v>
      </x:c>
      <x:c r="K36" s="307" t="str">
        <x:v>발소리와 인식표가 점점 멀어지고 안개 바람만 남는다. 마지막 나레이션 뒤 완전 무음.</x:v>
      </x:c>
      <x:c r="L36" s="307" t="str">
        <x:v>출격문 안쪽의 냉회색 금속과 문 너머의 붉은 안개. 아인의 코어만 엠버로 한 박자 뛰고, 도시 불빛·청록·게임식 미션 시작 광선은 사용하지 않는다.</x:v>
      </x:c>
      <x:c r="M36" s="307" t="str">
        <x:v>C 표식을 단 두 사람이 붉은 안개에 삼켜지며 첫 출격이 시작된다.</x:v>
      </x:c>
      <x:c r="N36" s="307" t="str">
        <x:v>제1부의 등급·수거·성숙 구조를 알고 돌아오면, 두 사람이 ‘낮아서 살아 있는’ 표식을 달고 스스로 안전 밖으로 걸어간 장면이 된다.</x:v>
      </x:c>
      <x:c r="O36" s="307" t="str">
        <x:v>독자는 ‘출격 / 책임 / 다음 거리’를 설명이 아니라 황혼의 판단 언어로 체화한다.</x:v>
      </x:c>
      <x:c r="P36" s="307" t="str">
        <x:v>강남역 로딩 전 마지막 다이에제틱 전환. 미션 UI보다 안개·발소리·C 태그를 기억시키고 조작으로 넘긴다.</x:v>
      </x:c>
      <x:c r="Q36" s="307" t="str">
        <x:v>GLOBAL-VIS-01 / 도시 불빛 절대 금지. 마지막까지 반보 실루엣 유지. 나레이션 뒤 긴 무음.</x:v>
      </x:c>
      <x:c r="R36" s="307" t="str">
        <x:v>생활형 개그 뒤에 장부의 침묵을 붙이고, 승리의 비용을 허브 경제로 되돌린다. 출격은 장엄하되 영웅 보상처럼 만들지 않고 상처·빚·C 표식을 그대로 지닌 채 다음 전장으로 넘어간다.</x:v>
      </x:c>
      <x:c r="S36" s="324" t="str">
        <x:v>LOCKED_v1</x:v>
      </x:c>
    </x:row>
    <x:row r="37" ht="22.5" customHeight="1">
      <x:c r="A37" s="311" t="str">
        <x:v>TOTAL / ESTIMATED SCROLL</x:v>
      </x:c>
      <x:c r="B37" s="311"/>
      <x:c r="C37" s="311"/>
      <x:c r="D37" s="311"/>
      <x:c r="E37" s="320" t="n">
        <x:f>SUM(E5:E36)</x:f>
        <x:v>15040</x:v>
      </x:c>
      <x:c r="F37" s="320" t="n">
        <x:f>SUM(F5:F36)</x:f>
        <x:v>880</x:v>
      </x:c>
      <x:c r="G37" s="320" t="n">
        <x:f>SUM(G5:G36)</x:f>
        <x:v>2985</x:v>
      </x:c>
      <x:c r="H37" s="311" t="str">
        <x:v>예상 총 세로합</x:v>
      </x:c>
      <x:c r="I37" s="311" t="n">
        <x:f>E37+F37+G37</x:f>
        <x:v>18905</x:v>
      </x:c>
      <x:c r="J37" s="311"/>
      <x:c r="K37" s="311"/>
      <x:c r="L37" s="311"/>
      <x:c r="M37" s="311"/>
      <x:c r="N37" s="311"/>
      <x:c r="O37" s="311"/>
      <x:c r="P37" s="311"/>
      <x:c r="Q37" s="311"/>
      <x:c r="R37" s="311"/>
      <x:c r="S37" s="311"/>
    </x:row>
  </x:sheetData>
  <x:mergeCells>
    <x:mergeCell ref="A1:S1"/>
    <x:mergeCell ref="A2:S2"/>
    <x:mergeCell ref="A37:D37"/>
  </x:mergeCells>
  <x:conditionalFormatting sqref="A5:S36">
    <x:cfRule type="expression" dxfId="19" priority="1">
      <x:formula>MOD(ROW(),2)=0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4" hidden="0" customWidth="1"/>
    <x:col min="4" max="4" width="28" hidden="0" customWidth="1"/>
    <x:col min="5" max="5" width="28" hidden="0" customWidth="1"/>
    <x:col min="6" max="6" width="22" hidden="0" customWidth="1"/>
    <x:col min="7" max="7" width="28" hidden="0" customWidth="1"/>
    <x:col min="8" max="8" width="22" hidden="0" customWidth="1"/>
  </x:cols>
  <x:sheetData>
    <x:row r="1" ht="27" customHeight="1">
      <x:c r="A1" s="270" t="str">
        <x:v>PROJECT TWILIGHT — EP01 FINAL IMPLEMENTATION CHECK</x:v>
      </x:c>
      <x:c r="B1" s="270"/>
      <x:c r="C1" s="270"/>
      <x:c r="D1" s="270"/>
      <x:c r="E1" s="270"/>
      <x:c r="F1" s="270"/>
      <x:c r="G1" s="270"/>
      <x:c r="H1" s="270"/>
    </x:row>
    <x:row r="2" ht="33" customHeight="1">
      <x:c r="A2" s="275" t="str">
        <x:v>CUT001~282 실제 연재 구현 완료 · 1회독 액션 / 3회독 의미 전환 / 5회독 동화 / 게임 플레이 에코 통합</x:v>
      </x:c>
      <x:c r="B2" s="275"/>
      <x:c r="C2" s="275"/>
      <x:c r="D2" s="275"/>
      <x:c r="E2" s="275"/>
      <x:c r="F2" s="275"/>
      <x:c r="G2" s="275"/>
      <x:c r="H2" s="275"/>
    </x:row>
    <x:row r="4" ht="25.5" customHeight="1">
      <x:c r="A4" s="350" t="str">
        <x:v>총 컷</x:v>
      </x:c>
      <x:c r="B4" s="351" t="n">
        <x:v>282</x:v>
      </x:c>
      <x:c r="C4" s="351" t="str">
        <x:v>구현 컷</x:v>
      </x:c>
      <x:c r="D4" s="351" t="n">
        <x:f>SUM(B8:B15)</x:f>
        <x:v>282</x:v>
      </x:c>
      <x:c r="E4" s="351" t="str">
        <x:v>미해결 제작 검수</x:v>
      </x:c>
      <x:c r="F4" s="351" t="n">
        <x:f>COUNTIF('검수_큐'!B2:B20,"PRODUCTION_FIX")</x:f>
        <x:v>0</x:v>
      </x:c>
      <x:c r="G4" s="351" t="str">
        <x:v>진행률</x:v>
      </x:c>
      <x:c r="H4" s="356" t="n">
        <x:f>D4/B4</x:f>
        <x:v>1</x:v>
      </x:c>
    </x:row>
    <x:row r="5" ht="25.5" customHeight="1">
      <x:c r="A5" s="353" t="str">
        <x:v>OPEN 단서</x:v>
      </x:c>
      <x:c r="B5" s="354" t="n">
        <x:f>COUNTIF('컷_태깅'!X2:X283,"OPEN")</x:f>
        <x:v>2</x:v>
      </x:c>
      <x:c r="C5" s="354" t="str">
        <x:v>PAYOFF 계약</x:v>
      </x:c>
      <x:c r="D5" s="354" t="n">
        <x:f>COUNTIF('컷_태깅'!X2:X283,"PAYOFF")</x:f>
        <x:v>37</x:v>
      </x:c>
      <x:c r="E5" s="354" t="str">
        <x:v>캐논 편집 분할</x:v>
      </x:c>
      <x:c r="F5" s="354" t="n">
        <x:f>COUNTIF('컷_태깅'!Z2:Z283,"EDITORIAL_CANON_SPLIT")</x:f>
        <x:v>3</x:v>
      </x:c>
      <x:c r="G5" s="354" t="str">
        <x:v>GLOBAL-VIS-01 적용</x:v>
      </x:c>
      <x:c r="H5" s="355" t="n">
        <x:f>B4</x:f>
        <x:v>282</x:v>
      </x:c>
    </x:row>
    <x:row r="7" ht="30" customHeight="1">
      <x:c r="A7" s="287" t="str">
        <x:v>구간</x:v>
      </x:c>
      <x:c r="B7" s="288" t="str">
        <x:v>컷 수</x:v>
      </x:c>
      <x:c r="C7" s="288" t="str">
        <x:v>패널 높이</x:v>
      </x:c>
      <x:c r="D7" s="288" t="str">
        <x:v>여백 합</x:v>
      </x:c>
      <x:c r="E7" s="288" t="str">
        <x:v>예상 스크롤</x:v>
      </x:c>
      <x:c r="F7" s="288" t="str">
        <x:v>구현 상태</x:v>
      </x:c>
      <x:c r="G7" s="288" t="str">
        <x:v>핵심 기능</x:v>
      </x:c>
      <x:c r="H7" s="289" t="str">
        <x:v>다음 제작</x:v>
      </x:c>
    </x:row>
    <x:row r="8" ht="43.5" customHeight="1">
      <x:c r="A8" s="303" t="str">
        <x:v>CUT001–040</x:v>
      </x:c>
      <x:c r="B8" s="304" t="n">
        <x:v>40</x:v>
      </x:c>
      <x:c r="C8" s="304" t="n">
        <x:f>'CUT001-040_연재구현'!E45</x:f>
        <x:v>18170</x:v>
      </x:c>
      <x:c r="D8" s="304" t="n">
        <x:f>'CUT001-040_연재구현'!F45+'CUT001-040_연재구현'!G45</x:f>
        <x:v>4745</x:v>
      </x:c>
      <x:c r="E8" s="304" t="n">
        <x:f>'CUT001-040_연재구현'!I45</x:f>
        <x:v>22915</x:v>
      </x:c>
      <x:c r="F8" s="359" t="str">
        <x:v>완료</x:v>
      </x:c>
      <x:c r="G8" s="304" t="str">
        <x:v>문서·옥상·셔터·반보</x:v>
      </x:c>
      <x:c r="H8" s="305" t="str">
        <x:v>최종 조판·작화</x:v>
      </x:c>
    </x:row>
    <x:row r="9" ht="43.5" customHeight="1">
      <x:c r="A9" s="303" t="str">
        <x:v>CUT041–080</x:v>
      </x:c>
      <x:c r="B9" s="304" t="n">
        <x:v>40</x:v>
      </x:c>
      <x:c r="C9" s="304" t="n">
        <x:f>'CUT041-080_연재구현'!E45</x:f>
        <x:v>17680</x:v>
      </x:c>
      <x:c r="D9" s="304" t="n">
        <x:f>'CUT041-080_연재구현'!F45+'CUT041-080_연재구현'!G45</x:f>
        <x:v>3795</x:v>
      </x:c>
      <x:c r="E9" s="304" t="n">
        <x:f>'CUT041-080_연재구현'!I45</x:f>
        <x:v>21475</x:v>
      </x:c>
      <x:c r="F9" s="359" t="str">
        <x:v>완료</x:v>
      </x:c>
      <x:c r="G9" s="304" t="str">
        <x:v>벙커·장인·빚·평가소 입구</x:v>
      </x:c>
      <x:c r="H9" s="305" t="str">
        <x:v>최종 조판·작화</x:v>
      </x:c>
    </x:row>
    <x:row r="10" ht="43.5" customHeight="1">
      <x:c r="A10" s="303" t="str">
        <x:v>CUT081–110</x:v>
      </x:c>
      <x:c r="B10" s="304" t="n">
        <x:v>30</x:v>
      </x:c>
      <x:c r="C10" s="304" t="n">
        <x:f>'CUT081-110_연재구현'!E35</x:f>
        <x:v>13500</x:v>
      </x:c>
      <x:c r="D10" s="304" t="n">
        <x:f>'CUT081-110_연재구현'!F35+'CUT081-110_연재구현'!G35</x:f>
        <x:v>2480</x:v>
      </x:c>
      <x:c r="E10" s="304" t="n">
        <x:f>'CUT081-110_연재구현'!I35</x:f>
        <x:v>15980</x:v>
      </x:c>
      <x:c r="F10" s="359" t="str">
        <x:v>완료</x:v>
      </x:c>
      <x:c r="G10" s="304" t="str">
        <x:v>무등록·등급·스캔·C</x:v>
      </x:c>
      <x:c r="H10" s="305" t="str">
        <x:v>최종 조판·작화</x:v>
      </x:c>
    </x:row>
    <x:row r="11" ht="43.5" customHeight="1">
      <x:c r="A11" s="303" t="str">
        <x:v>CUT111–136</x:v>
      </x:c>
      <x:c r="B11" s="304" t="n">
        <x:v>26</x:v>
      </x:c>
      <x:c r="C11" s="304" t="n">
        <x:f>'CUT111-136_연재구현'!E31</x:f>
        <x:v>11580</x:v>
      </x:c>
      <x:c r="D11" s="304" t="n">
        <x:f>'CUT111-136_연재구현'!F31+'CUT111-136_연재구현'!G31</x:f>
        <x:v>2545</x:v>
      </x:c>
      <x:c r="E11" s="304" t="n">
        <x:f>'CUT111-136_연재구현'!I31</x:f>
        <x:v>14125</x:v>
      </x:c>
      <x:c r="F11" s="359" t="str">
        <x:v>완료</x:v>
      </x:c>
      <x:c r="G11" s="304" t="str">
        <x:v>수기 장부·이름·숫자 질문</x:v>
      </x:c>
      <x:c r="H11" s="305" t="str">
        <x:v>최종 조판·작화</x:v>
      </x:c>
    </x:row>
    <x:row r="12" ht="43.5" customHeight="1">
      <x:c r="A12" s="303" t="str">
        <x:v>CUT137–165</x:v>
      </x:c>
      <x:c r="B12" s="304" t="n">
        <x:v>29</x:v>
      </x:c>
      <x:c r="C12" s="304" t="n">
        <x:f>'CUT137-165_연재구현'!E34</x:f>
        <x:v>13670</x:v>
      </x:c>
      <x:c r="D12" s="304" t="n">
        <x:f>'CUT137-165_연재구현'!F34+'CUT137-165_연재구현'!G34</x:f>
        <x:v>2205</x:v>
      </x:c>
      <x:c r="E12" s="304" t="n">
        <x:f>'CUT137-165_연재구현'!I34</x:f>
        <x:v>15875</x:v>
      </x:c>
      <x:c r="F12" s="359" t="str">
        <x:v>완료</x:v>
      </x:c>
      <x:c r="G12" s="304" t="str">
        <x:v>마태오·의뢰·훈련장 진입</x:v>
      </x:c>
      <x:c r="H12" s="305" t="str">
        <x:v>최종 조판·작화</x:v>
      </x:c>
    </x:row>
    <x:row r="13" ht="43.5" customHeight="1">
      <x:c r="A13" s="303" t="str">
        <x:v>CUT166–200</x:v>
      </x:c>
      <x:c r="B13" s="304" t="n">
        <x:v>35</x:v>
      </x:c>
      <x:c r="C13" s="304" t="n">
        <x:f>'CUT166-200_연재구현'!E40</x:f>
        <x:v>26260</x:v>
      </x:c>
      <x:c r="D13" s="304" t="n">
        <x:f>'CUT166-200_연재구현'!F40+'CUT166-200_연재구현'!G40</x:f>
        <x:v>2355</x:v>
      </x:c>
      <x:c r="E13" s="304" t="n">
        <x:f>'CUT166-200_연재구현'!I40</x:f>
        <x:v>28615</x:v>
      </x:c>
      <x:c r="F13" s="359" t="str">
        <x:v>완료</x:v>
      </x:c>
      <x:c r="G13" s="304" t="str">
        <x:v>각성·보스 공개·5단 예비동작</x:v>
      </x:c>
      <x:c r="H13" s="305" t="str">
        <x:v>최종 조판·작화</x:v>
      </x:c>
    </x:row>
    <x:row r="14" ht="43.5" customHeight="1">
      <x:c r="A14" s="303" t="str">
        <x:v>CUT201–250</x:v>
      </x:c>
      <x:c r="B14" s="304" t="n">
        <x:v>50</x:v>
      </x:c>
      <x:c r="C14" s="304" t="n">
        <x:f>'CUT201-250_연재구현'!E55</x:f>
        <x:v>60954</x:v>
      </x:c>
      <x:c r="D14" s="304" t="n">
        <x:f>'CUT201-250_연재구현'!F55+'CUT201-250_연재구현'!G55</x:f>
        <x:v>4640</x:v>
      </x:c>
      <x:c r="E14" s="304" t="n">
        <x:f>'CUT201-250_연재구현'!I55</x:f>
        <x:v>65594</x:v>
      </x:c>
      <x:c r="F14" s="359" t="str">
        <x:v>완료</x:v>
      </x:c>
      <x:c r="G14" s="304" t="str">
        <x:v>거리·고정·스위트 스폿·회수</x:v>
      </x:c>
      <x:c r="H14" s="305" t="str">
        <x:v>최종 조판·작화</x:v>
      </x:c>
    </x:row>
    <x:row r="15" ht="43.5" customHeight="1">
      <x:c r="A15" s="306" t="str">
        <x:v>CUT251–282</x:v>
      </x:c>
      <x:c r="B15" s="307" t="n">
        <x:v>32</x:v>
      </x:c>
      <x:c r="C15" s="307" t="n">
        <x:f>'CUT251-282_연재구현'!E37</x:f>
        <x:v>15040</x:v>
      </x:c>
      <x:c r="D15" s="307" t="n">
        <x:f>'CUT251-282_연재구현'!F37+'CUT251-282_연재구현'!G37</x:f>
        <x:v>3865</x:v>
      </x:c>
      <x:c r="E15" s="307" t="n">
        <x:f>'CUT251-282_연재구현'!I37</x:f>
        <x:v>18905</x:v>
      </x:c>
      <x:c r="F15" s="360" t="str">
        <x:v>완료</x:v>
      </x:c>
      <x:c r="G15" s="307" t="str">
        <x:v>손실 장부·상처·출격·C·C</x:v>
      </x:c>
      <x:c r="H15" s="308" t="str">
        <x:v>최종 조판·작화</x:v>
      </x:c>
    </x:row>
    <x:row r="16" ht="24" customHeight="1">
      <x:c r="A16" s="311" t="str">
        <x:v>TOTAL</x:v>
      </x:c>
      <x:c r="B16" s="311" t="n">
        <x:f>SUM(B8:B15)</x:f>
        <x:v>282</x:v>
      </x:c>
      <x:c r="C16" s="311" t="n">
        <x:f>SUM(C8:C15)</x:f>
        <x:v>176854</x:v>
      </x:c>
      <x:c r="D16" s="311" t="n">
        <x:f>SUM(D8:D15)</x:f>
        <x:v>26630</x:v>
      </x:c>
      <x:c r="E16" s="311" t="n">
        <x:f>SUM(E8:E15)</x:f>
        <x:v>203484</x:v>
      </x:c>
      <x:c r="F16" s="311" t="str">
        <x:v>EP01 LOCKED</x:v>
      </x:c>
      <x:c r="G16" s="311" t="str">
        <x:v>282컷 압축 없음</x:v>
      </x:c>
      <x:c r="H16" s="311" t="str">
        <x:v>작화/세로 조판</x:v>
      </x:c>
    </x:row>
    <x:row r="18" ht="24" customHeight="1">
      <x:c r="A18" s="275" t="str">
        <x:v>편집 분할 해결 이력 — 원본 콘티의 번호 공백을 소설 캐논으로 보완</x:v>
      </x:c>
      <x:c r="B18" s="275"/>
      <x:c r="C18" s="275"/>
      <x:c r="D18" s="275"/>
      <x:c r="E18" s="275"/>
      <x:c r="F18" s="275"/>
      <x:c r="G18" s="275"/>
      <x:c r="H18" s="275"/>
    </x:row>
    <x:row r="19" ht="31.5" customHeight="1">
      <x:c r="A19" s="287" t="str">
        <x:v>CUT</x:v>
      </x:c>
      <x:c r="B19" s="288" t="str">
        <x:v>문제</x:v>
      </x:c>
      <x:c r="C19" s="288" t="str">
        <x:v>근거 소스</x:v>
      </x:c>
      <x:c r="D19" s="288" t="str">
        <x:v>해결</x:v>
      </x:c>
      <x:c r="E19" s="288" t="str">
        <x:v>서사 기능</x:v>
      </x:c>
      <x:c r="F19" s="288" t="str">
        <x:v>게임 기능</x:v>
      </x:c>
      <x:c r="G19" s="288" t="str">
        <x:v>상태</x:v>
      </x:c>
      <x:c r="H19" s="289" t="str">
        <x:v>주의</x:v>
      </x:c>
    </x:row>
    <x:row r="20" ht="52.5" customHeight="1">
      <x:c r="A20" s="303" t="str">
        <x:v>199</x:v>
      </x:c>
      <x:c r="B20" s="304" t="str">
        <x:v>5컷 번호 / 4단 지시 불일치</x:v>
      </x:c>
      <x:c r="C20" s="304" t="str">
        <x:v>소설 11절 L752 ‘숨이 들어갔다.’</x:v>
      </x:c>
      <x:c r="D20" s="304" t="str">
        <x:v>들숨을 5번째 예비동작 컷으로 독립</x:v>
      </x:c>
      <x:c r="E20" s="304" t="str">
        <x:v>반 박자 공격 창</x:v>
      </x:c>
      <x:c r="F20" s="304" t="str">
        <x:v>최종 패리·진입 텔레그래프</x:v>
      </x:c>
      <x:c r="G20" s="359" t="str">
        <x:v>RESOLVED</x:v>
      </x:c>
      <x:c r="H20" s="305" t="str">
        <x:v>입·얼굴 생성 금지</x:v>
      </x:c>
    </x:row>
    <x:row r="21" ht="52.5" customHeight="1">
      <x:c r="A21" s="303" t="str">
        <x:v>226</x:v>
      </x:c>
      <x:c r="B21" s="304" t="str">
        <x:v>2컷 블록의 두 번째 순간 미지정</x:v>
      </x:c>
      <x:c r="C21" s="304" t="str">
        <x:v>소설 12절 L852 ‘그 한 번이 전부였다.’</x:v>
      </x:c>
      <x:c r="D21" s="304" t="str">
        <x:v>카인이 만든 숨 한 번의 빈 창을 독립</x:v>
      </x:c>
      <x:c r="E21" s="304" t="str">
        <x:v>파티 연계 순서</x:v>
      </x:c>
      <x:c r="F21" s="304" t="str">
        <x:v>가드 후 실제 경직 창</x:v>
      </x:c>
      <x:c r="G21" s="359" t="str">
        <x:v>RESOLVED</x:v>
      </x:c>
      <x:c r="H21" s="305" t="str">
        <x:v>시간 정지 UI 금지</x:v>
      </x:c>
    </x:row>
    <x:row r="22" ht="52.5" customHeight="1">
      <x:c r="A22" s="306" t="str">
        <x:v>247</x:v>
      </x:c>
      <x:c r="B22" s="307" t="str">
        <x:v>결정과 가루 대비 컷 미지정</x:v>
      </x:c>
      <x:c r="C22" s="307" t="str">
        <x:v>소설 13절 L922 ‘…또 가루야.’</x:v>
      </x:c>
      <x:c r="D22" s="307" t="str">
        <x:v>카인의 회색 가루 손을 독립</x:v>
      </x:c>
      <x:c r="E22" s="307" t="str">
        <x:v>조건부 승리의 경제</x:v>
      </x:c>
      <x:c r="F22" s="307" t="str">
        <x:v>무기별 회수 가치 차이</x:v>
      </x:c>
      <x:c r="G22" s="360" t="str">
        <x:v>RESOLVED</x:v>
      </x:c>
      <x:c r="H22" s="308" t="str">
        <x:v>가루 발광 금지</x:v>
      </x:c>
    </x:row>
    <x:row r="24" ht="24" customHeight="1">
      <x:c r="A24" s="275" t="str">
        <x:v>최종 전역 잠금</x:v>
      </x:c>
      <x:c r="B24" s="275"/>
      <x:c r="C24" s="275"/>
      <x:c r="D24" s="275"/>
      <x:c r="E24" s="275"/>
      <x:c r="F24" s="275"/>
      <x:c r="G24" s="275"/>
      <x:c r="H24" s="275"/>
    </x:row>
    <x:row r="25" ht="42" customHeight="1">
      <x:c r="A25" s="303" t="str">
        <x:v>VIS-01</x:v>
      </x:c>
      <x:c r="B25" s="304" t="str">
        <x:v>발광</x:v>
      </x:c>
      <x:c r="C25" s="304" t="str">
        <x:v>엠버 오렌지 단독</x:v>
      </x:c>
      <x:c r="D25" s="304" t="str">
        <x:v>청록 금지</x:v>
      </x:c>
      <x:c r="E25" s="304" t="str">
        <x:v>도시 불빛 금지</x:v>
      </x:c>
      <x:c r="F25" s="304" t="str">
        <x:v>게임 UI 금지</x:v>
      </x:c>
      <x:c r="G25" s="304" t="str">
        <x:v>전 컷</x:v>
      </x:c>
      <x:c r="H25" s="305" t="str">
        <x:v>LOCKED</x:v>
      </x:c>
    </x:row>
    <x:row r="26" ht="42" customHeight="1">
      <x:c r="A26" s="303" t="str">
        <x:v>REL-01</x:v>
      </x:c>
      <x:c r="B26" s="304" t="str">
        <x:v>카인 위치</x:v>
      </x:c>
      <x:c r="C26" s="304" t="str">
        <x:v>아인의 반보 뒤</x:v>
      </x:c>
      <x:c r="D26" s="304" t="str">
        <x:v>발 프레임 필수</x:v>
      </x:c>
      <x:c r="E26" s="304" t="str">
        <x:v>예외는 보호를 위해 앞으로 막을 때</x:v>
      </x:c>
      <x:c r="F26" s="304" t="str">
        <x:v>설명 대사 금지</x:v>
      </x:c>
      <x:c r="G26" s="304" t="str">
        <x:v>038·160·279 등</x:v>
      </x:c>
      <x:c r="H26" s="305" t="str">
        <x:v>LOCKED</x:v>
      </x:c>
    </x:row>
    <x:row r="27" ht="42" customHeight="1">
      <x:c r="A27" s="303" t="str">
        <x:v>AIN-01</x:v>
      </x:c>
      <x:c r="B27" s="304" t="str">
        <x:v>장비 좌우</x:v>
      </x:c>
      <x:c r="C27" s="304" t="str">
        <x:v>왼쪽 견갑</x:v>
      </x:c>
      <x:c r="D27" s="304" t="str">
        <x:v>오른쪽 건틀릿</x:v>
      </x:c>
      <x:c r="E27" s="304" t="str">
        <x:v>좌우 반전 금지</x:v>
      </x:c>
      <x:c r="F27" s="304" t="str">
        <x:v>낫 오른손 기본</x:v>
      </x:c>
      <x:c r="G27" s="304" t="str">
        <x:v>전 컷</x:v>
      </x:c>
      <x:c r="H27" s="305" t="str">
        <x:v>LOCKED</x:v>
      </x:c>
    </x:row>
    <x:row r="28" ht="42" customHeight="1">
      <x:c r="A28" s="303" t="str">
        <x:v>MAT-01</x:v>
      </x:c>
      <x:c r="B28" s="304" t="str">
        <x:v>마태오 CRT</x:v>
      </x:c>
      <x:c r="C28" s="304" t="str">
        <x:v>화면을 켜 둔다</x:v>
      </x:c>
      <x:c r="D28" s="304" t="str">
        <x:v>단 한 번도 보지 않는다</x:v>
      </x:c>
      <x:c r="E28" s="304" t="str">
        <x:v>가족 얼굴 선명 금지</x:v>
      </x:c>
      <x:c r="F28" s="304" t="str">
        <x:v>영상 완전 무음</x:v>
      </x:c>
      <x:c r="G28" s="304" t="str">
        <x:v>140·141·261</x:v>
      </x:c>
      <x:c r="H28" s="305" t="str">
        <x:v>LOCKED</x:v>
      </x:c>
    </x:row>
    <x:row r="29" ht="42" customHeight="1">
      <x:c r="A29" s="303" t="str">
        <x:v>OPEN-01</x:v>
      </x:c>
      <x:c r="B29" s="304" t="str">
        <x:v>붉은 스파이크</x:v>
      </x:c>
      <x:c r="C29" s="304" t="str">
        <x:v>OPEN</x:v>
      </x:c>
      <x:c r="D29" s="304" t="str">
        <x:v>정답 약속 없음</x:v>
      </x:c>
      <x:c r="E29" s="304" t="str">
        <x:v>누구도 못 봄</x:v>
      </x:c>
      <x:c r="F29" s="304" t="str">
        <x:v>과잉 강조 금지</x:v>
      </x:c>
      <x:c r="G29" s="304" t="str">
        <x:v>098</x:v>
      </x:c>
      <x:c r="H29" s="305" t="str">
        <x:v>LOCKED</x:v>
      </x:c>
    </x:row>
    <x:row r="30" ht="42" customHeight="1">
      <x:c r="A30" s="303" t="str">
        <x:v>OPEN-02</x:v>
      </x:c>
      <x:c r="B30" s="304" t="str">
        <x:v>허수아비 문양</x:v>
      </x:c>
      <x:c r="C30" s="304" t="str">
        <x:v>OPEN</x:v>
      </x:c>
      <x:c r="D30" s="304" t="str">
        <x:v>원인/봉인/측정 중 미확정</x:v>
      </x:c>
      <x:c r="E30" s="304" t="str">
        <x:v>반복 가능</x:v>
      </x:c>
      <x:c r="F30" s="304" t="str">
        <x:v>설명 의무 없음</x:v>
      </x:c>
      <x:c r="G30" s="304" t="str">
        <x:v>154·172</x:v>
      </x:c>
      <x:c r="H30" s="305" t="str">
        <x:v>LOCKED</x:v>
      </x:c>
    </x:row>
    <x:row r="31" ht="42" customHeight="1">
      <x:c r="A31" s="303" t="str">
        <x:v>INJ-01</x:v>
      </x:c>
      <x:c r="B31" s="304" t="str">
        <x:v>상처·재생</x:v>
      </x:c>
      <x:c r="C31" s="304" t="str">
        <x:v>등급이 높을수록 빠른 재생</x:v>
      </x:c>
      <x:c r="D31" s="304" t="str">
        <x:v>저등급은 실제 회복 시간</x:v>
      </x:c>
      <x:c r="E31" s="304" t="str">
        <x:v>흉은 남음</x:v>
      </x:c>
      <x:c r="F31" s="304" t="str">
        <x:v>즉시 무상 회복 금지</x:v>
      </x:c>
      <x:c r="G31" s="304" t="str">
        <x:v>273·274 이후</x:v>
      </x:c>
      <x:c r="H31" s="305" t="str">
        <x:v>LOCKED</x:v>
      </x:c>
    </x:row>
    <x:row r="32" ht="42" customHeight="1">
      <x:c r="A32" s="306" t="str">
        <x:v>END-01</x:v>
      </x:c>
      <x:c r="B32" s="307" t="str">
        <x:v>회차 종결</x:v>
      </x:c>
      <x:c r="C32" s="307" t="str">
        <x:v>C·C와 반보</x:v>
      </x:c>
      <x:c r="D32" s="307" t="str">
        <x:v>붉은 안개</x:v>
      </x:c>
      <x:c r="E32" s="307" t="str">
        <x:v>도시 불빛 없음</x:v>
      </x:c>
      <x:c r="F32" s="307" t="str">
        <x:v>나레이션 뒤 긴 무음</x:v>
      </x:c>
      <x:c r="G32" s="307" t="str">
        <x:v>279~282</x:v>
      </x:c>
      <x:c r="H32" s="308" t="str">
        <x:v>LOCKED</x:v>
      </x:c>
    </x:row>
  </x:sheetData>
  <x:mergeCells>
    <x:mergeCell ref="A1:H1"/>
    <x:mergeCell ref="A2:H2"/>
    <x:mergeCell ref="A18:H18"/>
    <x:mergeCell ref="A24:H24"/>
  </x:mergeCells>
  <x:conditionalFormatting sqref="H4:H4">
    <x:cfRule type="dataBar" priority="1">
      <x:dataBar>
        <x:cfvo type="min"/>
        <x:cfvo type="max"/>
        <x:color rgb="FFD97706"/>
      </x:dataBar>
      <x:extLst>
        <x:ext xmlns:x14="http://schemas.microsoft.com/office/spreadsheetml/2009/9/main" uri="{B025F937-C7B1-47D3-B67F-A62EFF666E3E}">
          <x14:id>{1EF4CEBB-8B89-AF1C-68D5-CE193268992C}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EF4CEBB-8B89-AF1C-68D5-CE193268992C}">
            <x14:dataBar gradient="1">
              <x14:cfvo type="min"/>
              <x14:cfvo type="max"/>
              <x14:fillColor rgb="FFD97706"/>
            </x14:dataBar>
          </x14:cfRule>
          <xm:sqref>H4:H4</xm:sqref>
        </x14:conditionalFormatting>
      </x14:conditionalFormattings>
    </x:ext>
  </x:extLst>
</x:worksheet>
</file>